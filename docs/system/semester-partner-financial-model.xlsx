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3-Year Review" sheetId="4" state="visible" r:id="rId4"/>
    <sheet xmlns:r="http://schemas.openxmlformats.org/officeDocument/2006/relationships" name="Next Quarter" sheetId="5" state="visible" r:id="rId5"/>
    <sheet xmlns:r="http://schemas.openxmlformats.org/officeDocument/2006/relationships" name="Cohort Retention" sheetId="6" state="visible" r:id="rId6"/>
    <sheet xmlns:r="http://schemas.openxmlformats.org/officeDocument/2006/relationships" name="Definitions" sheetId="7" state="visible" r:id="rId7"/>
  </sheets>
  <definedNames>
    <definedName name="_xlnm._FilterDatabase" localSheetId="0" hidden="1">'Inputs'!$A$1:$B$22</definedName>
    <definedName name="_xlnm._FilterDatabase" localSheetId="1" hidden="1">'Base'!$A$1:$W$37</definedName>
    <definedName name="_xlnm._FilterDatabase" localSheetId="2" hidden="1">'Scenario'!$A$1:$W$37</definedName>
    <definedName name="_xlnm._FilterDatabase" localSheetId="3" hidden="1">'3-Year Review'!$A$1:$J$7</definedName>
    <definedName name="_xlnm._FilterDatabase" localSheetId="4" hidden="1">'Next Quarter'!$A$1:$F$4</definedName>
    <definedName name="_xlnm._FilterDatabase" localSheetId="5" hidden="1">'Cohort Retention'!$A$1:$AL$38</definedName>
    <definedName name="_xlnm._FilterDatabase" localSheetId="6" hidden="1">'Definitions'!$A$1:$A$11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ILLUSTRATIVE ONLY - NOT LIVE DATA</t>
        </is>
      </c>
      <c r="B1" s="1" t="n"/>
    </row>
    <row r="2">
      <c r="A2" t="inlineStr">
        <is>
          <t>Start month</t>
        </is>
      </c>
      <c r="B2" s="2">
        <f>DATE(2026,11,1)</f>
        <v/>
      </c>
    </row>
    <row r="3">
      <c r="A3" t="inlineStr">
        <is>
          <t>Starting partners</t>
        </is>
      </c>
      <c r="B3" t="n">
        <v>100</v>
      </c>
    </row>
    <row r="4">
      <c r="A4" t="inlineStr">
        <is>
          <t>New partners per month</t>
        </is>
      </c>
      <c r="B4" t="n">
        <v>5</v>
      </c>
    </row>
    <row r="5">
      <c r="A5" t="inlineStr">
        <is>
          <t>Monthly partner churn</t>
        </is>
      </c>
      <c r="B5" s="3" t="n">
        <v>0.02</v>
      </c>
    </row>
    <row r="6">
      <c r="A6" t="inlineStr">
        <is>
          <t>Monthly GMV per active partner</t>
        </is>
      </c>
      <c r="B6" t="n">
        <v>1000</v>
      </c>
    </row>
    <row r="7">
      <c r="A7" t="inlineStr">
        <is>
          <t>Monthly productivity growth</t>
        </is>
      </c>
      <c r="B7" s="3" t="n">
        <v>0.01</v>
      </c>
    </row>
    <row r="8">
      <c r="A8" t="inlineStr">
        <is>
          <t>Refund rate</t>
        </is>
      </c>
      <c r="B8" s="3" t="n">
        <v>0.05</v>
      </c>
    </row>
    <row r="9">
      <c r="A9" t="inlineStr">
        <is>
          <t>Take rate on net GMV</t>
        </is>
      </c>
      <c r="B9" s="3" t="n">
        <v>0.12</v>
      </c>
    </row>
    <row r="10">
      <c r="A10" t="inlineStr">
        <is>
          <t>Variable cost / net GMV</t>
        </is>
      </c>
      <c r="B10" s="3" t="n">
        <v>0.03</v>
      </c>
    </row>
    <row r="11">
      <c r="A11" t="inlineStr">
        <is>
          <t>Fixed monthly operating cost</t>
        </is>
      </c>
      <c r="B11" t="n">
        <v>2000</v>
      </c>
    </row>
    <row r="12">
      <c r="A12" t="inlineStr">
        <is>
          <t>Monthly program investment</t>
        </is>
      </c>
      <c r="B12" t="n">
        <v>1000</v>
      </c>
    </row>
    <row r="13">
      <c r="A13" t="inlineStr">
        <is>
          <t>Counterfactual GMV multiplier</t>
        </is>
      </c>
      <c r="B13" t="n">
        <v>0.8</v>
      </c>
    </row>
    <row r="14">
      <c r="A14" t="inlineStr">
        <is>
          <t>Counterfactual take rate</t>
        </is>
      </c>
      <c r="B14" s="3" t="n">
        <v>0.1</v>
      </c>
    </row>
    <row r="15">
      <c r="A15" t="inlineStr">
        <is>
          <t>Take rate scenario change</t>
        </is>
      </c>
      <c r="B15" s="3" t="n">
        <v>0.01</v>
      </c>
    </row>
    <row r="16">
      <c r="A16" t="inlineStr">
        <is>
          <t>Churn scenario change</t>
        </is>
      </c>
      <c r="B16" s="3" t="n">
        <v>0.01</v>
      </c>
    </row>
    <row r="17">
      <c r="A17" t="inlineStr">
        <is>
          <t>GMV downside multiplier</t>
        </is>
      </c>
      <c r="B17" t="n">
        <v>0.8</v>
      </c>
    </row>
    <row r="18">
      <c r="A18" t="inlineStr">
        <is>
          <t>GMV upside multiplier</t>
        </is>
      </c>
      <c r="B18" t="n">
        <v>1.2</v>
      </c>
    </row>
    <row r="19">
      <c r="A19" t="inlineStr">
        <is>
          <t>Churn alert threshold</t>
        </is>
      </c>
      <c r="B19" s="3" t="n">
        <v>0.03</v>
      </c>
    </row>
    <row r="20">
      <c r="A20" t="inlineStr">
        <is>
          <t>Take drop threshold percentage points</t>
        </is>
      </c>
      <c r="B20" s="3" t="n">
        <v>0.01</v>
      </c>
    </row>
    <row r="21">
      <c r="A21" t="inlineStr">
        <is>
          <t>Data complete? 1=yes 0=no</t>
        </is>
      </c>
      <c r="B21" t="n">
        <v>1</v>
      </c>
    </row>
    <row r="22">
      <c r="A22" t="inlineStr">
        <is>
          <t>Minimum beginning partners for alerts</t>
        </is>
      </c>
      <c r="B22" t="n">
        <v>30</v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Begin partners</t>
        </is>
      </c>
      <c r="D1" s="1" t="inlineStr">
        <is>
          <t>Churn rate</t>
        </is>
      </c>
      <c r="E1" s="1" t="inlineStr">
        <is>
          <t>Exits</t>
        </is>
      </c>
      <c r="F1" s="1" t="inlineStr">
        <is>
          <t>New partners</t>
        </is>
      </c>
      <c r="G1" s="1" t="inlineStr">
        <is>
          <t>End partners</t>
        </is>
      </c>
      <c r="H1" s="1" t="inlineStr">
        <is>
          <t>Productivity</t>
        </is>
      </c>
      <c r="I1" s="1" t="inlineStr">
        <is>
          <t>Gross GMV</t>
        </is>
      </c>
      <c r="J1" s="1" t="inlineStr">
        <is>
          <t>Refunds</t>
        </is>
      </c>
      <c r="K1" s="1" t="inlineStr">
        <is>
          <t>Net GMV</t>
        </is>
      </c>
      <c r="L1" s="1" t="inlineStr">
        <is>
          <t>Take rate</t>
        </is>
      </c>
      <c r="M1" s="1" t="inlineStr">
        <is>
          <t>Net fee revenue</t>
        </is>
      </c>
      <c r="N1" s="1" t="inlineStr">
        <is>
          <t>Variable costs</t>
        </is>
      </c>
      <c r="O1" s="1" t="inlineStr">
        <is>
          <t>Contribution</t>
        </is>
      </c>
      <c r="P1" s="1" t="inlineStr">
        <is>
          <t>Fixed costs</t>
        </is>
      </c>
      <c r="Q1" s="1" t="inlineStr">
        <is>
          <t>Program cost</t>
        </is>
      </c>
      <c r="R1" s="1" t="inlineStr">
        <is>
          <t>Net operating contribution</t>
        </is>
      </c>
      <c r="S1" s="1" t="inlineStr">
        <is>
          <t>Counterfactual contribution</t>
        </is>
      </c>
      <c r="T1" s="1" t="inlineStr">
        <is>
          <t>Incremental contribution pre-program</t>
        </is>
      </c>
      <c r="U1" s="1" t="inlineStr">
        <is>
          <t>Program ROI</t>
        </is>
      </c>
      <c r="V1" s="1" t="inlineStr">
        <is>
          <t>Take rate delta</t>
        </is>
      </c>
      <c r="W1" s="1" t="inlineStr">
        <is>
          <t>Alert state</t>
        </is>
      </c>
    </row>
    <row r="2">
      <c r="A2" t="n">
        <v>1</v>
      </c>
      <c r="B2" s="2">
        <f>EDATE(Inputs!$B$2,A2-1)</f>
        <v/>
      </c>
      <c r="C2" s="4">
        <f>Inputs!$B$3</f>
        <v/>
      </c>
      <c r="D2" s="3">
        <f>MAX(0,MIN(1,Inputs!$B$5))</f>
        <v/>
      </c>
      <c r="E2" s="4">
        <f>C2*D2</f>
        <v/>
      </c>
      <c r="F2" s="4">
        <f>Inputs!$B$4</f>
        <v/>
      </c>
      <c r="G2" s="4">
        <f>C2-E2+F2</f>
        <v/>
      </c>
      <c r="H2" s="4">
        <f>Inputs!$B$6*(1+Inputs!$B$7)^(A2-1)</f>
        <v/>
      </c>
      <c r="I2" s="4">
        <f>(C2+G2)/2*H2</f>
        <v/>
      </c>
      <c r="J2" s="4">
        <f>I2*Inputs!$B$8</f>
        <v/>
      </c>
      <c r="K2" s="4">
        <f>I2-J2</f>
        <v/>
      </c>
      <c r="L2" s="3">
        <f>MAX(0,MIN(1,Inputs!$B$9))</f>
        <v/>
      </c>
      <c r="M2" s="4">
        <f>K2*L2</f>
        <v/>
      </c>
      <c r="N2" s="4">
        <f>K2*Inputs!$B$10</f>
        <v/>
      </c>
      <c r="O2" s="4">
        <f>M2-N2</f>
        <v/>
      </c>
      <c r="P2" s="4">
        <f>Inputs!$B$11</f>
        <v/>
      </c>
      <c r="Q2" s="4">
        <f>Inputs!$B$12</f>
        <v/>
      </c>
      <c r="R2" s="4">
        <f>O2-P2-Q2</f>
        <v/>
      </c>
      <c r="S2" s="4">
        <f>K2*Inputs!$B$13*(Inputs!$B$14-Inputs!$B$10)</f>
        <v/>
      </c>
      <c r="T2" s="4">
        <f>O2-S2</f>
        <v/>
      </c>
      <c r="U2" s="3">
        <f>IF(Q2=0,"",(T2-Q2)/Q2)</f>
        <v/>
      </c>
      <c r="V2" s="3">
        <f>0</f>
        <v/>
      </c>
      <c r="W2">
        <f>IF(Inputs!$B$21&lt;&gt;1,"DATA BLOCKED",IF(C2&lt;Inputs!$B$22,"INSUFFICIENT COHORT",IF(OR(D2&gt;Inputs!$B$19,V2&lt;-Inputs!$B$20),"REVIEW","OK")))</f>
        <v/>
      </c>
    </row>
    <row r="3">
      <c r="A3" t="n">
        <v>2</v>
      </c>
      <c r="B3" s="2">
        <f>EDATE(Inputs!$B$2,A3-1)</f>
        <v/>
      </c>
      <c r="C3" s="4">
        <f>G2</f>
        <v/>
      </c>
      <c r="D3" s="3">
        <f>MAX(0,MIN(1,Inputs!$B$5))</f>
        <v/>
      </c>
      <c r="E3" s="4">
        <f>C3*D3</f>
        <v/>
      </c>
      <c r="F3" s="4">
        <f>Inputs!$B$4</f>
        <v/>
      </c>
      <c r="G3" s="4">
        <f>C3-E3+F3</f>
        <v/>
      </c>
      <c r="H3" s="4">
        <f>Inputs!$B$6*(1+Inputs!$B$7)^(A3-1)</f>
        <v/>
      </c>
      <c r="I3" s="4">
        <f>(C3+G3)/2*H3</f>
        <v/>
      </c>
      <c r="J3" s="4">
        <f>I3*Inputs!$B$8</f>
        <v/>
      </c>
      <c r="K3" s="4">
        <f>I3-J3</f>
        <v/>
      </c>
      <c r="L3" s="3">
        <f>MAX(0,MIN(1,Inputs!$B$9))</f>
        <v/>
      </c>
      <c r="M3" s="4">
        <f>K3*L3</f>
        <v/>
      </c>
      <c r="N3" s="4">
        <f>K3*Inputs!$B$10</f>
        <v/>
      </c>
      <c r="O3" s="4">
        <f>M3-N3</f>
        <v/>
      </c>
      <c r="P3" s="4">
        <f>Inputs!$B$11</f>
        <v/>
      </c>
      <c r="Q3" s="4">
        <f>Inputs!$B$12</f>
        <v/>
      </c>
      <c r="R3" s="4">
        <f>O3-P3-Q3</f>
        <v/>
      </c>
      <c r="S3" s="4">
        <f>K3*Inputs!$B$13*(Inputs!$B$14-Inputs!$B$10)</f>
        <v/>
      </c>
      <c r="T3" s="4">
        <f>O3-S3</f>
        <v/>
      </c>
      <c r="U3" s="3">
        <f>IF(Q3=0,"",(T3-Q3)/Q3)</f>
        <v/>
      </c>
      <c r="V3" s="3">
        <f>L3-L2</f>
        <v/>
      </c>
      <c r="W3">
        <f>IF(Inputs!$B$21&lt;&gt;1,"DATA BLOCKED",IF(C3&lt;Inputs!$B$22,"INSUFFICIENT COHORT",IF(OR(D3&gt;Inputs!$B$19,V3&lt;-Inputs!$B$20),"REVIEW","OK")))</f>
        <v/>
      </c>
    </row>
    <row r="4">
      <c r="A4" t="n">
        <v>3</v>
      </c>
      <c r="B4" s="2">
        <f>EDATE(Inputs!$B$2,A4-1)</f>
        <v/>
      </c>
      <c r="C4" s="4">
        <f>G3</f>
        <v/>
      </c>
      <c r="D4" s="3">
        <f>MAX(0,MIN(1,Inputs!$B$5))</f>
        <v/>
      </c>
      <c r="E4" s="4">
        <f>C4*D4</f>
        <v/>
      </c>
      <c r="F4" s="4">
        <f>Inputs!$B$4</f>
        <v/>
      </c>
      <c r="G4" s="4">
        <f>C4-E4+F4</f>
        <v/>
      </c>
      <c r="H4" s="4">
        <f>Inputs!$B$6*(1+Inputs!$B$7)^(A4-1)</f>
        <v/>
      </c>
      <c r="I4" s="4">
        <f>(C4+G4)/2*H4</f>
        <v/>
      </c>
      <c r="J4" s="4">
        <f>I4*Inputs!$B$8</f>
        <v/>
      </c>
      <c r="K4" s="4">
        <f>I4-J4</f>
        <v/>
      </c>
      <c r="L4" s="3">
        <f>MAX(0,MIN(1,Inputs!$B$9))</f>
        <v/>
      </c>
      <c r="M4" s="4">
        <f>K4*L4</f>
        <v/>
      </c>
      <c r="N4" s="4">
        <f>K4*Inputs!$B$10</f>
        <v/>
      </c>
      <c r="O4" s="4">
        <f>M4-N4</f>
        <v/>
      </c>
      <c r="P4" s="4">
        <f>Inputs!$B$11</f>
        <v/>
      </c>
      <c r="Q4" s="4">
        <f>Inputs!$B$12</f>
        <v/>
      </c>
      <c r="R4" s="4">
        <f>O4-P4-Q4</f>
        <v/>
      </c>
      <c r="S4" s="4">
        <f>K4*Inputs!$B$13*(Inputs!$B$14-Inputs!$B$10)</f>
        <v/>
      </c>
      <c r="T4" s="4">
        <f>O4-S4</f>
        <v/>
      </c>
      <c r="U4" s="3">
        <f>IF(Q4=0,"",(T4-Q4)/Q4)</f>
        <v/>
      </c>
      <c r="V4" s="3">
        <f>L4-L3</f>
        <v/>
      </c>
      <c r="W4">
        <f>IF(Inputs!$B$21&lt;&gt;1,"DATA BLOCKED",IF(C4&lt;Inputs!$B$22,"INSUFFICIENT COHORT",IF(OR(D4&gt;Inputs!$B$19,V4&lt;-Inputs!$B$20),"REVIEW","OK")))</f>
        <v/>
      </c>
    </row>
    <row r="5">
      <c r="A5" t="n">
        <v>4</v>
      </c>
      <c r="B5" s="2">
        <f>EDATE(Inputs!$B$2,A5-1)</f>
        <v/>
      </c>
      <c r="C5" s="4">
        <f>G4</f>
        <v/>
      </c>
      <c r="D5" s="3">
        <f>MAX(0,MIN(1,Inputs!$B$5))</f>
        <v/>
      </c>
      <c r="E5" s="4">
        <f>C5*D5</f>
        <v/>
      </c>
      <c r="F5" s="4">
        <f>Inputs!$B$4</f>
        <v/>
      </c>
      <c r="G5" s="4">
        <f>C5-E5+F5</f>
        <v/>
      </c>
      <c r="H5" s="4">
        <f>Inputs!$B$6*(1+Inputs!$B$7)^(A5-1)</f>
        <v/>
      </c>
      <c r="I5" s="4">
        <f>(C5+G5)/2*H5</f>
        <v/>
      </c>
      <c r="J5" s="4">
        <f>I5*Inputs!$B$8</f>
        <v/>
      </c>
      <c r="K5" s="4">
        <f>I5-J5</f>
        <v/>
      </c>
      <c r="L5" s="3">
        <f>MAX(0,MIN(1,Inputs!$B$9))</f>
        <v/>
      </c>
      <c r="M5" s="4">
        <f>K5*L5</f>
        <v/>
      </c>
      <c r="N5" s="4">
        <f>K5*Inputs!$B$10</f>
        <v/>
      </c>
      <c r="O5" s="4">
        <f>M5-N5</f>
        <v/>
      </c>
      <c r="P5" s="4">
        <f>Inputs!$B$11</f>
        <v/>
      </c>
      <c r="Q5" s="4">
        <f>Inputs!$B$12</f>
        <v/>
      </c>
      <c r="R5" s="4">
        <f>O5-P5-Q5</f>
        <v/>
      </c>
      <c r="S5" s="4">
        <f>K5*Inputs!$B$13*(Inputs!$B$14-Inputs!$B$10)</f>
        <v/>
      </c>
      <c r="T5" s="4">
        <f>O5-S5</f>
        <v/>
      </c>
      <c r="U5" s="3">
        <f>IF(Q5=0,"",(T5-Q5)/Q5)</f>
        <v/>
      </c>
      <c r="V5" s="3">
        <f>L5-L4</f>
        <v/>
      </c>
      <c r="W5">
        <f>IF(Inputs!$B$21&lt;&gt;1,"DATA BLOCKED",IF(C5&lt;Inputs!$B$22,"INSUFFICIENT COHORT",IF(OR(D5&gt;Inputs!$B$19,V5&lt;-Inputs!$B$20),"REVIEW","OK")))</f>
        <v/>
      </c>
    </row>
    <row r="6">
      <c r="A6" t="n">
        <v>5</v>
      </c>
      <c r="B6" s="2">
        <f>EDATE(Inputs!$B$2,A6-1)</f>
        <v/>
      </c>
      <c r="C6" s="4">
        <f>G5</f>
        <v/>
      </c>
      <c r="D6" s="3">
        <f>MAX(0,MIN(1,Inputs!$B$5))</f>
        <v/>
      </c>
      <c r="E6" s="4">
        <f>C6*D6</f>
        <v/>
      </c>
      <c r="F6" s="4">
        <f>Inputs!$B$4</f>
        <v/>
      </c>
      <c r="G6" s="4">
        <f>C6-E6+F6</f>
        <v/>
      </c>
      <c r="H6" s="4">
        <f>Inputs!$B$6*(1+Inputs!$B$7)^(A6-1)</f>
        <v/>
      </c>
      <c r="I6" s="4">
        <f>(C6+G6)/2*H6</f>
        <v/>
      </c>
      <c r="J6" s="4">
        <f>I6*Inputs!$B$8</f>
        <v/>
      </c>
      <c r="K6" s="4">
        <f>I6-J6</f>
        <v/>
      </c>
      <c r="L6" s="3">
        <f>MAX(0,MIN(1,Inputs!$B$9))</f>
        <v/>
      </c>
      <c r="M6" s="4">
        <f>K6*L6</f>
        <v/>
      </c>
      <c r="N6" s="4">
        <f>K6*Inputs!$B$10</f>
        <v/>
      </c>
      <c r="O6" s="4">
        <f>M6-N6</f>
        <v/>
      </c>
      <c r="P6" s="4">
        <f>Inputs!$B$11</f>
        <v/>
      </c>
      <c r="Q6" s="4">
        <f>Inputs!$B$12</f>
        <v/>
      </c>
      <c r="R6" s="4">
        <f>O6-P6-Q6</f>
        <v/>
      </c>
      <c r="S6" s="4">
        <f>K6*Inputs!$B$13*(Inputs!$B$14-Inputs!$B$10)</f>
        <v/>
      </c>
      <c r="T6" s="4">
        <f>O6-S6</f>
        <v/>
      </c>
      <c r="U6" s="3">
        <f>IF(Q6=0,"",(T6-Q6)/Q6)</f>
        <v/>
      </c>
      <c r="V6" s="3">
        <f>L6-L5</f>
        <v/>
      </c>
      <c r="W6">
        <f>IF(Inputs!$B$21&lt;&gt;1,"DATA BLOCKED",IF(C6&lt;Inputs!$B$22,"INSUFFICIENT COHORT",IF(OR(D6&gt;Inputs!$B$19,V6&lt;-Inputs!$B$20),"REVIEW","OK")))</f>
        <v/>
      </c>
    </row>
    <row r="7">
      <c r="A7" t="n">
        <v>6</v>
      </c>
      <c r="B7" s="2">
        <f>EDATE(Inputs!$B$2,A7-1)</f>
        <v/>
      </c>
      <c r="C7" s="4">
        <f>G6</f>
        <v/>
      </c>
      <c r="D7" s="3">
        <f>MAX(0,MIN(1,Inputs!$B$5))</f>
        <v/>
      </c>
      <c r="E7" s="4">
        <f>C7*D7</f>
        <v/>
      </c>
      <c r="F7" s="4">
        <f>Inputs!$B$4</f>
        <v/>
      </c>
      <c r="G7" s="4">
        <f>C7-E7+F7</f>
        <v/>
      </c>
      <c r="H7" s="4">
        <f>Inputs!$B$6*(1+Inputs!$B$7)^(A7-1)</f>
        <v/>
      </c>
      <c r="I7" s="4">
        <f>(C7+G7)/2*H7</f>
        <v/>
      </c>
      <c r="J7" s="4">
        <f>I7*Inputs!$B$8</f>
        <v/>
      </c>
      <c r="K7" s="4">
        <f>I7-J7</f>
        <v/>
      </c>
      <c r="L7" s="3">
        <f>MAX(0,MIN(1,Inputs!$B$9))</f>
        <v/>
      </c>
      <c r="M7" s="4">
        <f>K7*L7</f>
        <v/>
      </c>
      <c r="N7" s="4">
        <f>K7*Inputs!$B$10</f>
        <v/>
      </c>
      <c r="O7" s="4">
        <f>M7-N7</f>
        <v/>
      </c>
      <c r="P7" s="4">
        <f>Inputs!$B$11</f>
        <v/>
      </c>
      <c r="Q7" s="4">
        <f>Inputs!$B$12</f>
        <v/>
      </c>
      <c r="R7" s="4">
        <f>O7-P7-Q7</f>
        <v/>
      </c>
      <c r="S7" s="4">
        <f>K7*Inputs!$B$13*(Inputs!$B$14-Inputs!$B$10)</f>
        <v/>
      </c>
      <c r="T7" s="4">
        <f>O7-S7</f>
        <v/>
      </c>
      <c r="U7" s="3">
        <f>IF(Q7=0,"",(T7-Q7)/Q7)</f>
        <v/>
      </c>
      <c r="V7" s="3">
        <f>L7-L6</f>
        <v/>
      </c>
      <c r="W7">
        <f>IF(Inputs!$B$21&lt;&gt;1,"DATA BLOCKED",IF(C7&lt;Inputs!$B$22,"INSUFFICIENT COHORT",IF(OR(D7&gt;Inputs!$B$19,V7&lt;-Inputs!$B$20),"REVIEW","OK")))</f>
        <v/>
      </c>
    </row>
    <row r="8">
      <c r="A8" t="n">
        <v>7</v>
      </c>
      <c r="B8" s="2">
        <f>EDATE(Inputs!$B$2,A8-1)</f>
        <v/>
      </c>
      <c r="C8" s="4">
        <f>G7</f>
        <v/>
      </c>
      <c r="D8" s="3">
        <f>MAX(0,MIN(1,Inputs!$B$5))</f>
        <v/>
      </c>
      <c r="E8" s="4">
        <f>C8*D8</f>
        <v/>
      </c>
      <c r="F8" s="4">
        <f>Inputs!$B$4</f>
        <v/>
      </c>
      <c r="G8" s="4">
        <f>C8-E8+F8</f>
        <v/>
      </c>
      <c r="H8" s="4">
        <f>Inputs!$B$6*(1+Inputs!$B$7)^(A8-1)</f>
        <v/>
      </c>
      <c r="I8" s="4">
        <f>(C8+G8)/2*H8</f>
        <v/>
      </c>
      <c r="J8" s="4">
        <f>I8*Inputs!$B$8</f>
        <v/>
      </c>
      <c r="K8" s="4">
        <f>I8-J8</f>
        <v/>
      </c>
      <c r="L8" s="3">
        <f>MAX(0,MIN(1,Inputs!$B$9))</f>
        <v/>
      </c>
      <c r="M8" s="4">
        <f>K8*L8</f>
        <v/>
      </c>
      <c r="N8" s="4">
        <f>K8*Inputs!$B$10</f>
        <v/>
      </c>
      <c r="O8" s="4">
        <f>M8-N8</f>
        <v/>
      </c>
      <c r="P8" s="4">
        <f>Inputs!$B$11</f>
        <v/>
      </c>
      <c r="Q8" s="4">
        <f>Inputs!$B$12</f>
        <v/>
      </c>
      <c r="R8" s="4">
        <f>O8-P8-Q8</f>
        <v/>
      </c>
      <c r="S8" s="4">
        <f>K8*Inputs!$B$13*(Inputs!$B$14-Inputs!$B$10)</f>
        <v/>
      </c>
      <c r="T8" s="4">
        <f>O8-S8</f>
        <v/>
      </c>
      <c r="U8" s="3">
        <f>IF(Q8=0,"",(T8-Q8)/Q8)</f>
        <v/>
      </c>
      <c r="V8" s="3">
        <f>L8-L7</f>
        <v/>
      </c>
      <c r="W8">
        <f>IF(Inputs!$B$21&lt;&gt;1,"DATA BLOCKED",IF(C8&lt;Inputs!$B$22,"INSUFFICIENT COHORT",IF(OR(D8&gt;Inputs!$B$19,V8&lt;-Inputs!$B$20),"REVIEW","OK")))</f>
        <v/>
      </c>
    </row>
    <row r="9">
      <c r="A9" t="n">
        <v>8</v>
      </c>
      <c r="B9" s="2">
        <f>EDATE(Inputs!$B$2,A9-1)</f>
        <v/>
      </c>
      <c r="C9" s="4">
        <f>G8</f>
        <v/>
      </c>
      <c r="D9" s="3">
        <f>MAX(0,MIN(1,Inputs!$B$5))</f>
        <v/>
      </c>
      <c r="E9" s="4">
        <f>C9*D9</f>
        <v/>
      </c>
      <c r="F9" s="4">
        <f>Inputs!$B$4</f>
        <v/>
      </c>
      <c r="G9" s="4">
        <f>C9-E9+F9</f>
        <v/>
      </c>
      <c r="H9" s="4">
        <f>Inputs!$B$6*(1+Inputs!$B$7)^(A9-1)</f>
        <v/>
      </c>
      <c r="I9" s="4">
        <f>(C9+G9)/2*H9</f>
        <v/>
      </c>
      <c r="J9" s="4">
        <f>I9*Inputs!$B$8</f>
        <v/>
      </c>
      <c r="K9" s="4">
        <f>I9-J9</f>
        <v/>
      </c>
      <c r="L9" s="3">
        <f>MAX(0,MIN(1,Inputs!$B$9))</f>
        <v/>
      </c>
      <c r="M9" s="4">
        <f>K9*L9</f>
        <v/>
      </c>
      <c r="N9" s="4">
        <f>K9*Inputs!$B$10</f>
        <v/>
      </c>
      <c r="O9" s="4">
        <f>M9-N9</f>
        <v/>
      </c>
      <c r="P9" s="4">
        <f>Inputs!$B$11</f>
        <v/>
      </c>
      <c r="Q9" s="4">
        <f>Inputs!$B$12</f>
        <v/>
      </c>
      <c r="R9" s="4">
        <f>O9-P9-Q9</f>
        <v/>
      </c>
      <c r="S9" s="4">
        <f>K9*Inputs!$B$13*(Inputs!$B$14-Inputs!$B$10)</f>
        <v/>
      </c>
      <c r="T9" s="4">
        <f>O9-S9</f>
        <v/>
      </c>
      <c r="U9" s="3">
        <f>IF(Q9=0,"",(T9-Q9)/Q9)</f>
        <v/>
      </c>
      <c r="V9" s="3">
        <f>L9-L8</f>
        <v/>
      </c>
      <c r="W9">
        <f>IF(Inputs!$B$21&lt;&gt;1,"DATA BLOCKED",IF(C9&lt;Inputs!$B$22,"INSUFFICIENT COHORT",IF(OR(D9&gt;Inputs!$B$19,V9&lt;-Inputs!$B$20),"REVIEW","OK")))</f>
        <v/>
      </c>
    </row>
    <row r="10">
      <c r="A10" t="n">
        <v>9</v>
      </c>
      <c r="B10" s="2">
        <f>EDATE(Inputs!$B$2,A10-1)</f>
        <v/>
      </c>
      <c r="C10" s="4">
        <f>G9</f>
        <v/>
      </c>
      <c r="D10" s="3">
        <f>MAX(0,MIN(1,Inputs!$B$5))</f>
        <v/>
      </c>
      <c r="E10" s="4">
        <f>C10*D10</f>
        <v/>
      </c>
      <c r="F10" s="4">
        <f>Inputs!$B$4</f>
        <v/>
      </c>
      <c r="G10" s="4">
        <f>C10-E10+F10</f>
        <v/>
      </c>
      <c r="H10" s="4">
        <f>Inputs!$B$6*(1+Inputs!$B$7)^(A10-1)</f>
        <v/>
      </c>
      <c r="I10" s="4">
        <f>(C10+G10)/2*H10</f>
        <v/>
      </c>
      <c r="J10" s="4">
        <f>I10*Inputs!$B$8</f>
        <v/>
      </c>
      <c r="K10" s="4">
        <f>I10-J10</f>
        <v/>
      </c>
      <c r="L10" s="3">
        <f>MAX(0,MIN(1,Inputs!$B$9))</f>
        <v/>
      </c>
      <c r="M10" s="4">
        <f>K10*L10</f>
        <v/>
      </c>
      <c r="N10" s="4">
        <f>K10*Inputs!$B$10</f>
        <v/>
      </c>
      <c r="O10" s="4">
        <f>M10-N10</f>
        <v/>
      </c>
      <c r="P10" s="4">
        <f>Inputs!$B$11</f>
        <v/>
      </c>
      <c r="Q10" s="4">
        <f>Inputs!$B$12</f>
        <v/>
      </c>
      <c r="R10" s="4">
        <f>O10-P10-Q10</f>
        <v/>
      </c>
      <c r="S10" s="4">
        <f>K10*Inputs!$B$13*(Inputs!$B$14-Inputs!$B$10)</f>
        <v/>
      </c>
      <c r="T10" s="4">
        <f>O10-S10</f>
        <v/>
      </c>
      <c r="U10" s="3">
        <f>IF(Q10=0,"",(T10-Q10)/Q10)</f>
        <v/>
      </c>
      <c r="V10" s="3">
        <f>L10-L9</f>
        <v/>
      </c>
      <c r="W10">
        <f>IF(Inputs!$B$21&lt;&gt;1,"DATA BLOCKED",IF(C10&lt;Inputs!$B$22,"INSUFFICIENT COHORT",IF(OR(D10&gt;Inputs!$B$19,V10&lt;-Inputs!$B$20),"REVIEW","OK")))</f>
        <v/>
      </c>
    </row>
    <row r="11">
      <c r="A11" t="n">
        <v>10</v>
      </c>
      <c r="B11" s="2">
        <f>EDATE(Inputs!$B$2,A11-1)</f>
        <v/>
      </c>
      <c r="C11" s="4">
        <f>G10</f>
        <v/>
      </c>
      <c r="D11" s="3">
        <f>MAX(0,MIN(1,Inputs!$B$5))</f>
        <v/>
      </c>
      <c r="E11" s="4">
        <f>C11*D11</f>
        <v/>
      </c>
      <c r="F11" s="4">
        <f>Inputs!$B$4</f>
        <v/>
      </c>
      <c r="G11" s="4">
        <f>C11-E11+F11</f>
        <v/>
      </c>
      <c r="H11" s="4">
        <f>Inputs!$B$6*(1+Inputs!$B$7)^(A11-1)</f>
        <v/>
      </c>
      <c r="I11" s="4">
        <f>(C11+G11)/2*H11</f>
        <v/>
      </c>
      <c r="J11" s="4">
        <f>I11*Inputs!$B$8</f>
        <v/>
      </c>
      <c r="K11" s="4">
        <f>I11-J11</f>
        <v/>
      </c>
      <c r="L11" s="3">
        <f>MAX(0,MIN(1,Inputs!$B$9))</f>
        <v/>
      </c>
      <c r="M11" s="4">
        <f>K11*L11</f>
        <v/>
      </c>
      <c r="N11" s="4">
        <f>K11*Inputs!$B$10</f>
        <v/>
      </c>
      <c r="O11" s="4">
        <f>M11-N11</f>
        <v/>
      </c>
      <c r="P11" s="4">
        <f>Inputs!$B$11</f>
        <v/>
      </c>
      <c r="Q11" s="4">
        <f>Inputs!$B$12</f>
        <v/>
      </c>
      <c r="R11" s="4">
        <f>O11-P11-Q11</f>
        <v/>
      </c>
      <c r="S11" s="4">
        <f>K11*Inputs!$B$13*(Inputs!$B$14-Inputs!$B$10)</f>
        <v/>
      </c>
      <c r="T11" s="4">
        <f>O11-S11</f>
        <v/>
      </c>
      <c r="U11" s="3">
        <f>IF(Q11=0,"",(T11-Q11)/Q11)</f>
        <v/>
      </c>
      <c r="V11" s="3">
        <f>L11-L10</f>
        <v/>
      </c>
      <c r="W11">
        <f>IF(Inputs!$B$21&lt;&gt;1,"DATA BLOCKED",IF(C11&lt;Inputs!$B$22,"INSUFFICIENT COHORT",IF(OR(D11&gt;Inputs!$B$19,V11&lt;-Inputs!$B$20),"REVIEW","OK")))</f>
        <v/>
      </c>
    </row>
    <row r="12">
      <c r="A12" t="n">
        <v>11</v>
      </c>
      <c r="B12" s="2">
        <f>EDATE(Inputs!$B$2,A12-1)</f>
        <v/>
      </c>
      <c r="C12" s="4">
        <f>G11</f>
        <v/>
      </c>
      <c r="D12" s="3">
        <f>MAX(0,MIN(1,Inputs!$B$5))</f>
        <v/>
      </c>
      <c r="E12" s="4">
        <f>C12*D12</f>
        <v/>
      </c>
      <c r="F12" s="4">
        <f>Inputs!$B$4</f>
        <v/>
      </c>
      <c r="G12" s="4">
        <f>C12-E12+F12</f>
        <v/>
      </c>
      <c r="H12" s="4">
        <f>Inputs!$B$6*(1+Inputs!$B$7)^(A12-1)</f>
        <v/>
      </c>
      <c r="I12" s="4">
        <f>(C12+G12)/2*H12</f>
        <v/>
      </c>
      <c r="J12" s="4">
        <f>I12*Inputs!$B$8</f>
        <v/>
      </c>
      <c r="K12" s="4">
        <f>I12-J12</f>
        <v/>
      </c>
      <c r="L12" s="3">
        <f>MAX(0,MIN(1,Inputs!$B$9))</f>
        <v/>
      </c>
      <c r="M12" s="4">
        <f>K12*L12</f>
        <v/>
      </c>
      <c r="N12" s="4">
        <f>K12*Inputs!$B$10</f>
        <v/>
      </c>
      <c r="O12" s="4">
        <f>M12-N12</f>
        <v/>
      </c>
      <c r="P12" s="4">
        <f>Inputs!$B$11</f>
        <v/>
      </c>
      <c r="Q12" s="4">
        <f>Inputs!$B$12</f>
        <v/>
      </c>
      <c r="R12" s="4">
        <f>O12-P12-Q12</f>
        <v/>
      </c>
      <c r="S12" s="4">
        <f>K12*Inputs!$B$13*(Inputs!$B$14-Inputs!$B$10)</f>
        <v/>
      </c>
      <c r="T12" s="4">
        <f>O12-S12</f>
        <v/>
      </c>
      <c r="U12" s="3">
        <f>IF(Q12=0,"",(T12-Q12)/Q12)</f>
        <v/>
      </c>
      <c r="V12" s="3">
        <f>L12-L11</f>
        <v/>
      </c>
      <c r="W12">
        <f>IF(Inputs!$B$21&lt;&gt;1,"DATA BLOCKED",IF(C12&lt;Inputs!$B$22,"INSUFFICIENT COHORT",IF(OR(D12&gt;Inputs!$B$19,V12&lt;-Inputs!$B$20),"REVIEW","OK")))</f>
        <v/>
      </c>
    </row>
    <row r="13">
      <c r="A13" t="n">
        <v>12</v>
      </c>
      <c r="B13" s="2">
        <f>EDATE(Inputs!$B$2,A13-1)</f>
        <v/>
      </c>
      <c r="C13" s="4">
        <f>G12</f>
        <v/>
      </c>
      <c r="D13" s="3">
        <f>MAX(0,MIN(1,Inputs!$B$5))</f>
        <v/>
      </c>
      <c r="E13" s="4">
        <f>C13*D13</f>
        <v/>
      </c>
      <c r="F13" s="4">
        <f>Inputs!$B$4</f>
        <v/>
      </c>
      <c r="G13" s="4">
        <f>C13-E13+F13</f>
        <v/>
      </c>
      <c r="H13" s="4">
        <f>Inputs!$B$6*(1+Inputs!$B$7)^(A13-1)</f>
        <v/>
      </c>
      <c r="I13" s="4">
        <f>(C13+G13)/2*H13</f>
        <v/>
      </c>
      <c r="J13" s="4">
        <f>I13*Inputs!$B$8</f>
        <v/>
      </c>
      <c r="K13" s="4">
        <f>I13-J13</f>
        <v/>
      </c>
      <c r="L13" s="3">
        <f>MAX(0,MIN(1,Inputs!$B$9))</f>
        <v/>
      </c>
      <c r="M13" s="4">
        <f>K13*L13</f>
        <v/>
      </c>
      <c r="N13" s="4">
        <f>K13*Inputs!$B$10</f>
        <v/>
      </c>
      <c r="O13" s="4">
        <f>M13-N13</f>
        <v/>
      </c>
      <c r="P13" s="4">
        <f>Inputs!$B$11</f>
        <v/>
      </c>
      <c r="Q13" s="4">
        <f>Inputs!$B$12</f>
        <v/>
      </c>
      <c r="R13" s="4">
        <f>O13-P13-Q13</f>
        <v/>
      </c>
      <c r="S13" s="4">
        <f>K13*Inputs!$B$13*(Inputs!$B$14-Inputs!$B$10)</f>
        <v/>
      </c>
      <c r="T13" s="4">
        <f>O13-S13</f>
        <v/>
      </c>
      <c r="U13" s="3">
        <f>IF(Q13=0,"",(T13-Q13)/Q13)</f>
        <v/>
      </c>
      <c r="V13" s="3">
        <f>L13-L12</f>
        <v/>
      </c>
      <c r="W13">
        <f>IF(Inputs!$B$21&lt;&gt;1,"DATA BLOCKED",IF(C13&lt;Inputs!$B$22,"INSUFFICIENT COHORT",IF(OR(D13&gt;Inputs!$B$19,V13&lt;-Inputs!$B$20),"REVIEW","OK")))</f>
        <v/>
      </c>
    </row>
    <row r="14">
      <c r="A14" t="n">
        <v>13</v>
      </c>
      <c r="B14" s="2">
        <f>EDATE(Inputs!$B$2,A14-1)</f>
        <v/>
      </c>
      <c r="C14" s="4">
        <f>G13</f>
        <v/>
      </c>
      <c r="D14" s="3">
        <f>MAX(0,MIN(1,Inputs!$B$5))</f>
        <v/>
      </c>
      <c r="E14" s="4">
        <f>C14*D14</f>
        <v/>
      </c>
      <c r="F14" s="4">
        <f>Inputs!$B$4</f>
        <v/>
      </c>
      <c r="G14" s="4">
        <f>C14-E14+F14</f>
        <v/>
      </c>
      <c r="H14" s="4">
        <f>Inputs!$B$6*(1+Inputs!$B$7)^(A14-1)</f>
        <v/>
      </c>
      <c r="I14" s="4">
        <f>(C14+G14)/2*H14</f>
        <v/>
      </c>
      <c r="J14" s="4">
        <f>I14*Inputs!$B$8</f>
        <v/>
      </c>
      <c r="K14" s="4">
        <f>I14-J14</f>
        <v/>
      </c>
      <c r="L14" s="3">
        <f>MAX(0,MIN(1,Inputs!$B$9))</f>
        <v/>
      </c>
      <c r="M14" s="4">
        <f>K14*L14</f>
        <v/>
      </c>
      <c r="N14" s="4">
        <f>K14*Inputs!$B$10</f>
        <v/>
      </c>
      <c r="O14" s="4">
        <f>M14-N14</f>
        <v/>
      </c>
      <c r="P14" s="4">
        <f>Inputs!$B$11</f>
        <v/>
      </c>
      <c r="Q14" s="4">
        <f>Inputs!$B$12</f>
        <v/>
      </c>
      <c r="R14" s="4">
        <f>O14-P14-Q14</f>
        <v/>
      </c>
      <c r="S14" s="4">
        <f>K14*Inputs!$B$13*(Inputs!$B$14-Inputs!$B$10)</f>
        <v/>
      </c>
      <c r="T14" s="4">
        <f>O14-S14</f>
        <v/>
      </c>
      <c r="U14" s="3">
        <f>IF(Q14=0,"",(T14-Q14)/Q14)</f>
        <v/>
      </c>
      <c r="V14" s="3">
        <f>L14-L13</f>
        <v/>
      </c>
      <c r="W14">
        <f>IF(Inputs!$B$21&lt;&gt;1,"DATA BLOCKED",IF(C14&lt;Inputs!$B$22,"INSUFFICIENT COHORT",IF(OR(D14&gt;Inputs!$B$19,V14&lt;-Inputs!$B$20),"REVIEW","OK")))</f>
        <v/>
      </c>
    </row>
    <row r="15">
      <c r="A15" t="n">
        <v>14</v>
      </c>
      <c r="B15" s="2">
        <f>EDATE(Inputs!$B$2,A15-1)</f>
        <v/>
      </c>
      <c r="C15" s="4">
        <f>G14</f>
        <v/>
      </c>
      <c r="D15" s="3">
        <f>MAX(0,MIN(1,Inputs!$B$5))</f>
        <v/>
      </c>
      <c r="E15" s="4">
        <f>C15*D15</f>
        <v/>
      </c>
      <c r="F15" s="4">
        <f>Inputs!$B$4</f>
        <v/>
      </c>
      <c r="G15" s="4">
        <f>C15-E15+F15</f>
        <v/>
      </c>
      <c r="H15" s="4">
        <f>Inputs!$B$6*(1+Inputs!$B$7)^(A15-1)</f>
        <v/>
      </c>
      <c r="I15" s="4">
        <f>(C15+G15)/2*H15</f>
        <v/>
      </c>
      <c r="J15" s="4">
        <f>I15*Inputs!$B$8</f>
        <v/>
      </c>
      <c r="K15" s="4">
        <f>I15-J15</f>
        <v/>
      </c>
      <c r="L15" s="3">
        <f>MAX(0,MIN(1,Inputs!$B$9))</f>
        <v/>
      </c>
      <c r="M15" s="4">
        <f>K15*L15</f>
        <v/>
      </c>
      <c r="N15" s="4">
        <f>K15*Inputs!$B$10</f>
        <v/>
      </c>
      <c r="O15" s="4">
        <f>M15-N15</f>
        <v/>
      </c>
      <c r="P15" s="4">
        <f>Inputs!$B$11</f>
        <v/>
      </c>
      <c r="Q15" s="4">
        <f>Inputs!$B$12</f>
        <v/>
      </c>
      <c r="R15" s="4">
        <f>O15-P15-Q15</f>
        <v/>
      </c>
      <c r="S15" s="4">
        <f>K15*Inputs!$B$13*(Inputs!$B$14-Inputs!$B$10)</f>
        <v/>
      </c>
      <c r="T15" s="4">
        <f>O15-S15</f>
        <v/>
      </c>
      <c r="U15" s="3">
        <f>IF(Q15=0,"",(T15-Q15)/Q15)</f>
        <v/>
      </c>
      <c r="V15" s="3">
        <f>L15-L14</f>
        <v/>
      </c>
      <c r="W15">
        <f>IF(Inputs!$B$21&lt;&gt;1,"DATA BLOCKED",IF(C15&lt;Inputs!$B$22,"INSUFFICIENT COHORT",IF(OR(D15&gt;Inputs!$B$19,V15&lt;-Inputs!$B$20),"REVIEW","OK")))</f>
        <v/>
      </c>
    </row>
    <row r="16">
      <c r="A16" t="n">
        <v>15</v>
      </c>
      <c r="B16" s="2">
        <f>EDATE(Inputs!$B$2,A16-1)</f>
        <v/>
      </c>
      <c r="C16" s="4">
        <f>G15</f>
        <v/>
      </c>
      <c r="D16" s="3">
        <f>MAX(0,MIN(1,Inputs!$B$5))</f>
        <v/>
      </c>
      <c r="E16" s="4">
        <f>C16*D16</f>
        <v/>
      </c>
      <c r="F16" s="4">
        <f>Inputs!$B$4</f>
        <v/>
      </c>
      <c r="G16" s="4">
        <f>C16-E16+F16</f>
        <v/>
      </c>
      <c r="H16" s="4">
        <f>Inputs!$B$6*(1+Inputs!$B$7)^(A16-1)</f>
        <v/>
      </c>
      <c r="I16" s="4">
        <f>(C16+G16)/2*H16</f>
        <v/>
      </c>
      <c r="J16" s="4">
        <f>I16*Inputs!$B$8</f>
        <v/>
      </c>
      <c r="K16" s="4">
        <f>I16-J16</f>
        <v/>
      </c>
      <c r="L16" s="3">
        <f>MAX(0,MIN(1,Inputs!$B$9))</f>
        <v/>
      </c>
      <c r="M16" s="4">
        <f>K16*L16</f>
        <v/>
      </c>
      <c r="N16" s="4">
        <f>K16*Inputs!$B$10</f>
        <v/>
      </c>
      <c r="O16" s="4">
        <f>M16-N16</f>
        <v/>
      </c>
      <c r="P16" s="4">
        <f>Inputs!$B$11</f>
        <v/>
      </c>
      <c r="Q16" s="4">
        <f>Inputs!$B$12</f>
        <v/>
      </c>
      <c r="R16" s="4">
        <f>O16-P16-Q16</f>
        <v/>
      </c>
      <c r="S16" s="4">
        <f>K16*Inputs!$B$13*(Inputs!$B$14-Inputs!$B$10)</f>
        <v/>
      </c>
      <c r="T16" s="4">
        <f>O16-S16</f>
        <v/>
      </c>
      <c r="U16" s="3">
        <f>IF(Q16=0,"",(T16-Q16)/Q16)</f>
        <v/>
      </c>
      <c r="V16" s="3">
        <f>L16-L15</f>
        <v/>
      </c>
      <c r="W16">
        <f>IF(Inputs!$B$21&lt;&gt;1,"DATA BLOCKED",IF(C16&lt;Inputs!$B$22,"INSUFFICIENT COHORT",IF(OR(D16&gt;Inputs!$B$19,V16&lt;-Inputs!$B$20),"REVIEW","OK")))</f>
        <v/>
      </c>
    </row>
    <row r="17">
      <c r="A17" t="n">
        <v>16</v>
      </c>
      <c r="B17" s="2">
        <f>EDATE(Inputs!$B$2,A17-1)</f>
        <v/>
      </c>
      <c r="C17" s="4">
        <f>G16</f>
        <v/>
      </c>
      <c r="D17" s="3">
        <f>MAX(0,MIN(1,Inputs!$B$5))</f>
        <v/>
      </c>
      <c r="E17" s="4">
        <f>C17*D17</f>
        <v/>
      </c>
      <c r="F17" s="4">
        <f>Inputs!$B$4</f>
        <v/>
      </c>
      <c r="G17" s="4">
        <f>C17-E17+F17</f>
        <v/>
      </c>
      <c r="H17" s="4">
        <f>Inputs!$B$6*(1+Inputs!$B$7)^(A17-1)</f>
        <v/>
      </c>
      <c r="I17" s="4">
        <f>(C17+G17)/2*H17</f>
        <v/>
      </c>
      <c r="J17" s="4">
        <f>I17*Inputs!$B$8</f>
        <v/>
      </c>
      <c r="K17" s="4">
        <f>I17-J17</f>
        <v/>
      </c>
      <c r="L17" s="3">
        <f>MAX(0,MIN(1,Inputs!$B$9))</f>
        <v/>
      </c>
      <c r="M17" s="4">
        <f>K17*L17</f>
        <v/>
      </c>
      <c r="N17" s="4">
        <f>K17*Inputs!$B$10</f>
        <v/>
      </c>
      <c r="O17" s="4">
        <f>M17-N17</f>
        <v/>
      </c>
      <c r="P17" s="4">
        <f>Inputs!$B$11</f>
        <v/>
      </c>
      <c r="Q17" s="4">
        <f>Inputs!$B$12</f>
        <v/>
      </c>
      <c r="R17" s="4">
        <f>O17-P17-Q17</f>
        <v/>
      </c>
      <c r="S17" s="4">
        <f>K17*Inputs!$B$13*(Inputs!$B$14-Inputs!$B$10)</f>
        <v/>
      </c>
      <c r="T17" s="4">
        <f>O17-S17</f>
        <v/>
      </c>
      <c r="U17" s="3">
        <f>IF(Q17=0,"",(T17-Q17)/Q17)</f>
        <v/>
      </c>
      <c r="V17" s="3">
        <f>L17-L16</f>
        <v/>
      </c>
      <c r="W17">
        <f>IF(Inputs!$B$21&lt;&gt;1,"DATA BLOCKED",IF(C17&lt;Inputs!$B$22,"INSUFFICIENT COHORT",IF(OR(D17&gt;Inputs!$B$19,V17&lt;-Inputs!$B$20),"REVIEW","OK")))</f>
        <v/>
      </c>
    </row>
    <row r="18">
      <c r="A18" t="n">
        <v>17</v>
      </c>
      <c r="B18" s="2">
        <f>EDATE(Inputs!$B$2,A18-1)</f>
        <v/>
      </c>
      <c r="C18" s="4">
        <f>G17</f>
        <v/>
      </c>
      <c r="D18" s="3">
        <f>MAX(0,MIN(1,Inputs!$B$5))</f>
        <v/>
      </c>
      <c r="E18" s="4">
        <f>C18*D18</f>
        <v/>
      </c>
      <c r="F18" s="4">
        <f>Inputs!$B$4</f>
        <v/>
      </c>
      <c r="G18" s="4">
        <f>C18-E18+F18</f>
        <v/>
      </c>
      <c r="H18" s="4">
        <f>Inputs!$B$6*(1+Inputs!$B$7)^(A18-1)</f>
        <v/>
      </c>
      <c r="I18" s="4">
        <f>(C18+G18)/2*H18</f>
        <v/>
      </c>
      <c r="J18" s="4">
        <f>I18*Inputs!$B$8</f>
        <v/>
      </c>
      <c r="K18" s="4">
        <f>I18-J18</f>
        <v/>
      </c>
      <c r="L18" s="3">
        <f>MAX(0,MIN(1,Inputs!$B$9))</f>
        <v/>
      </c>
      <c r="M18" s="4">
        <f>K18*L18</f>
        <v/>
      </c>
      <c r="N18" s="4">
        <f>K18*Inputs!$B$10</f>
        <v/>
      </c>
      <c r="O18" s="4">
        <f>M18-N18</f>
        <v/>
      </c>
      <c r="P18" s="4">
        <f>Inputs!$B$11</f>
        <v/>
      </c>
      <c r="Q18" s="4">
        <f>Inputs!$B$12</f>
        <v/>
      </c>
      <c r="R18" s="4">
        <f>O18-P18-Q18</f>
        <v/>
      </c>
      <c r="S18" s="4">
        <f>K18*Inputs!$B$13*(Inputs!$B$14-Inputs!$B$10)</f>
        <v/>
      </c>
      <c r="T18" s="4">
        <f>O18-S18</f>
        <v/>
      </c>
      <c r="U18" s="3">
        <f>IF(Q18=0,"",(T18-Q18)/Q18)</f>
        <v/>
      </c>
      <c r="V18" s="3">
        <f>L18-L17</f>
        <v/>
      </c>
      <c r="W18">
        <f>IF(Inputs!$B$21&lt;&gt;1,"DATA BLOCKED",IF(C18&lt;Inputs!$B$22,"INSUFFICIENT COHORT",IF(OR(D18&gt;Inputs!$B$19,V18&lt;-Inputs!$B$20),"REVIEW","OK")))</f>
        <v/>
      </c>
    </row>
    <row r="19">
      <c r="A19" t="n">
        <v>18</v>
      </c>
      <c r="B19" s="2">
        <f>EDATE(Inputs!$B$2,A19-1)</f>
        <v/>
      </c>
      <c r="C19" s="4">
        <f>G18</f>
        <v/>
      </c>
      <c r="D19" s="3">
        <f>MAX(0,MIN(1,Inputs!$B$5))</f>
        <v/>
      </c>
      <c r="E19" s="4">
        <f>C19*D19</f>
        <v/>
      </c>
      <c r="F19" s="4">
        <f>Inputs!$B$4</f>
        <v/>
      </c>
      <c r="G19" s="4">
        <f>C19-E19+F19</f>
        <v/>
      </c>
      <c r="H19" s="4">
        <f>Inputs!$B$6*(1+Inputs!$B$7)^(A19-1)</f>
        <v/>
      </c>
      <c r="I19" s="4">
        <f>(C19+G19)/2*H19</f>
        <v/>
      </c>
      <c r="J19" s="4">
        <f>I19*Inputs!$B$8</f>
        <v/>
      </c>
      <c r="K19" s="4">
        <f>I19-J19</f>
        <v/>
      </c>
      <c r="L19" s="3">
        <f>MAX(0,MIN(1,Inputs!$B$9))</f>
        <v/>
      </c>
      <c r="M19" s="4">
        <f>K19*L19</f>
        <v/>
      </c>
      <c r="N19" s="4">
        <f>K19*Inputs!$B$10</f>
        <v/>
      </c>
      <c r="O19" s="4">
        <f>M19-N19</f>
        <v/>
      </c>
      <c r="P19" s="4">
        <f>Inputs!$B$11</f>
        <v/>
      </c>
      <c r="Q19" s="4">
        <f>Inputs!$B$12</f>
        <v/>
      </c>
      <c r="R19" s="4">
        <f>O19-P19-Q19</f>
        <v/>
      </c>
      <c r="S19" s="4">
        <f>K19*Inputs!$B$13*(Inputs!$B$14-Inputs!$B$10)</f>
        <v/>
      </c>
      <c r="T19" s="4">
        <f>O19-S19</f>
        <v/>
      </c>
      <c r="U19" s="3">
        <f>IF(Q19=0,"",(T19-Q19)/Q19)</f>
        <v/>
      </c>
      <c r="V19" s="3">
        <f>L19-L18</f>
        <v/>
      </c>
      <c r="W19">
        <f>IF(Inputs!$B$21&lt;&gt;1,"DATA BLOCKED",IF(C19&lt;Inputs!$B$22,"INSUFFICIENT COHORT",IF(OR(D19&gt;Inputs!$B$19,V19&lt;-Inputs!$B$20),"REVIEW","OK")))</f>
        <v/>
      </c>
    </row>
    <row r="20">
      <c r="A20" t="n">
        <v>19</v>
      </c>
      <c r="B20" s="2">
        <f>EDATE(Inputs!$B$2,A20-1)</f>
        <v/>
      </c>
      <c r="C20" s="4">
        <f>G19</f>
        <v/>
      </c>
      <c r="D20" s="3">
        <f>MAX(0,MIN(1,Inputs!$B$5))</f>
        <v/>
      </c>
      <c r="E20" s="4">
        <f>C20*D20</f>
        <v/>
      </c>
      <c r="F20" s="4">
        <f>Inputs!$B$4</f>
        <v/>
      </c>
      <c r="G20" s="4">
        <f>C20-E20+F20</f>
        <v/>
      </c>
      <c r="H20" s="4">
        <f>Inputs!$B$6*(1+Inputs!$B$7)^(A20-1)</f>
        <v/>
      </c>
      <c r="I20" s="4">
        <f>(C20+G20)/2*H20</f>
        <v/>
      </c>
      <c r="J20" s="4">
        <f>I20*Inputs!$B$8</f>
        <v/>
      </c>
      <c r="K20" s="4">
        <f>I20-J20</f>
        <v/>
      </c>
      <c r="L20" s="3">
        <f>MAX(0,MIN(1,Inputs!$B$9))</f>
        <v/>
      </c>
      <c r="M20" s="4">
        <f>K20*L20</f>
        <v/>
      </c>
      <c r="N20" s="4">
        <f>K20*Inputs!$B$10</f>
        <v/>
      </c>
      <c r="O20" s="4">
        <f>M20-N20</f>
        <v/>
      </c>
      <c r="P20" s="4">
        <f>Inputs!$B$11</f>
        <v/>
      </c>
      <c r="Q20" s="4">
        <f>Inputs!$B$12</f>
        <v/>
      </c>
      <c r="R20" s="4">
        <f>O20-P20-Q20</f>
        <v/>
      </c>
      <c r="S20" s="4">
        <f>K20*Inputs!$B$13*(Inputs!$B$14-Inputs!$B$10)</f>
        <v/>
      </c>
      <c r="T20" s="4">
        <f>O20-S20</f>
        <v/>
      </c>
      <c r="U20" s="3">
        <f>IF(Q20=0,"",(T20-Q20)/Q20)</f>
        <v/>
      </c>
      <c r="V20" s="3">
        <f>L20-L19</f>
        <v/>
      </c>
      <c r="W20">
        <f>IF(Inputs!$B$21&lt;&gt;1,"DATA BLOCKED",IF(C20&lt;Inputs!$B$22,"INSUFFICIENT COHORT",IF(OR(D20&gt;Inputs!$B$19,V20&lt;-Inputs!$B$20),"REVIEW","OK")))</f>
        <v/>
      </c>
    </row>
    <row r="21">
      <c r="A21" t="n">
        <v>20</v>
      </c>
      <c r="B21" s="2">
        <f>EDATE(Inputs!$B$2,A21-1)</f>
        <v/>
      </c>
      <c r="C21" s="4">
        <f>G20</f>
        <v/>
      </c>
      <c r="D21" s="3">
        <f>MAX(0,MIN(1,Inputs!$B$5))</f>
        <v/>
      </c>
      <c r="E21" s="4">
        <f>C21*D21</f>
        <v/>
      </c>
      <c r="F21" s="4">
        <f>Inputs!$B$4</f>
        <v/>
      </c>
      <c r="G21" s="4">
        <f>C21-E21+F21</f>
        <v/>
      </c>
      <c r="H21" s="4">
        <f>Inputs!$B$6*(1+Inputs!$B$7)^(A21-1)</f>
        <v/>
      </c>
      <c r="I21" s="4">
        <f>(C21+G21)/2*H21</f>
        <v/>
      </c>
      <c r="J21" s="4">
        <f>I21*Inputs!$B$8</f>
        <v/>
      </c>
      <c r="K21" s="4">
        <f>I21-J21</f>
        <v/>
      </c>
      <c r="L21" s="3">
        <f>MAX(0,MIN(1,Inputs!$B$9))</f>
        <v/>
      </c>
      <c r="M21" s="4">
        <f>K21*L21</f>
        <v/>
      </c>
      <c r="N21" s="4">
        <f>K21*Inputs!$B$10</f>
        <v/>
      </c>
      <c r="O21" s="4">
        <f>M21-N21</f>
        <v/>
      </c>
      <c r="P21" s="4">
        <f>Inputs!$B$11</f>
        <v/>
      </c>
      <c r="Q21" s="4">
        <f>Inputs!$B$12</f>
        <v/>
      </c>
      <c r="R21" s="4">
        <f>O21-P21-Q21</f>
        <v/>
      </c>
      <c r="S21" s="4">
        <f>K21*Inputs!$B$13*(Inputs!$B$14-Inputs!$B$10)</f>
        <v/>
      </c>
      <c r="T21" s="4">
        <f>O21-S21</f>
        <v/>
      </c>
      <c r="U21" s="3">
        <f>IF(Q21=0,"",(T21-Q21)/Q21)</f>
        <v/>
      </c>
      <c r="V21" s="3">
        <f>L21-L20</f>
        <v/>
      </c>
      <c r="W21">
        <f>IF(Inputs!$B$21&lt;&gt;1,"DATA BLOCKED",IF(C21&lt;Inputs!$B$22,"INSUFFICIENT COHORT",IF(OR(D21&gt;Inputs!$B$19,V21&lt;-Inputs!$B$20),"REVIEW","OK")))</f>
        <v/>
      </c>
    </row>
    <row r="22">
      <c r="A22" t="n">
        <v>21</v>
      </c>
      <c r="B22" s="2">
        <f>EDATE(Inputs!$B$2,A22-1)</f>
        <v/>
      </c>
      <c r="C22" s="4">
        <f>G21</f>
        <v/>
      </c>
      <c r="D22" s="3">
        <f>MAX(0,MIN(1,Inputs!$B$5))</f>
        <v/>
      </c>
      <c r="E22" s="4">
        <f>C22*D22</f>
        <v/>
      </c>
      <c r="F22" s="4">
        <f>Inputs!$B$4</f>
        <v/>
      </c>
      <c r="G22" s="4">
        <f>C22-E22+F22</f>
        <v/>
      </c>
      <c r="H22" s="4">
        <f>Inputs!$B$6*(1+Inputs!$B$7)^(A22-1)</f>
        <v/>
      </c>
      <c r="I22" s="4">
        <f>(C22+G22)/2*H22</f>
        <v/>
      </c>
      <c r="J22" s="4">
        <f>I22*Inputs!$B$8</f>
        <v/>
      </c>
      <c r="K22" s="4">
        <f>I22-J22</f>
        <v/>
      </c>
      <c r="L22" s="3">
        <f>MAX(0,MIN(1,Inputs!$B$9))</f>
        <v/>
      </c>
      <c r="M22" s="4">
        <f>K22*L22</f>
        <v/>
      </c>
      <c r="N22" s="4">
        <f>K22*Inputs!$B$10</f>
        <v/>
      </c>
      <c r="O22" s="4">
        <f>M22-N22</f>
        <v/>
      </c>
      <c r="P22" s="4">
        <f>Inputs!$B$11</f>
        <v/>
      </c>
      <c r="Q22" s="4">
        <f>Inputs!$B$12</f>
        <v/>
      </c>
      <c r="R22" s="4">
        <f>O22-P22-Q22</f>
        <v/>
      </c>
      <c r="S22" s="4">
        <f>K22*Inputs!$B$13*(Inputs!$B$14-Inputs!$B$10)</f>
        <v/>
      </c>
      <c r="T22" s="4">
        <f>O22-S22</f>
        <v/>
      </c>
      <c r="U22" s="3">
        <f>IF(Q22=0,"",(T22-Q22)/Q22)</f>
        <v/>
      </c>
      <c r="V22" s="3">
        <f>L22-L21</f>
        <v/>
      </c>
      <c r="W22">
        <f>IF(Inputs!$B$21&lt;&gt;1,"DATA BLOCKED",IF(C22&lt;Inputs!$B$22,"INSUFFICIENT COHORT",IF(OR(D22&gt;Inputs!$B$19,V22&lt;-Inputs!$B$20),"REVIEW","OK")))</f>
        <v/>
      </c>
    </row>
    <row r="23">
      <c r="A23" t="n">
        <v>22</v>
      </c>
      <c r="B23" s="2">
        <f>EDATE(Inputs!$B$2,A23-1)</f>
        <v/>
      </c>
      <c r="C23" s="4">
        <f>G22</f>
        <v/>
      </c>
      <c r="D23" s="3">
        <f>MAX(0,MIN(1,Inputs!$B$5))</f>
        <v/>
      </c>
      <c r="E23" s="4">
        <f>C23*D23</f>
        <v/>
      </c>
      <c r="F23" s="4">
        <f>Inputs!$B$4</f>
        <v/>
      </c>
      <c r="G23" s="4">
        <f>C23-E23+F23</f>
        <v/>
      </c>
      <c r="H23" s="4">
        <f>Inputs!$B$6*(1+Inputs!$B$7)^(A23-1)</f>
        <v/>
      </c>
      <c r="I23" s="4">
        <f>(C23+G23)/2*H23</f>
        <v/>
      </c>
      <c r="J23" s="4">
        <f>I23*Inputs!$B$8</f>
        <v/>
      </c>
      <c r="K23" s="4">
        <f>I23-J23</f>
        <v/>
      </c>
      <c r="L23" s="3">
        <f>MAX(0,MIN(1,Inputs!$B$9))</f>
        <v/>
      </c>
      <c r="M23" s="4">
        <f>K23*L23</f>
        <v/>
      </c>
      <c r="N23" s="4">
        <f>K23*Inputs!$B$10</f>
        <v/>
      </c>
      <c r="O23" s="4">
        <f>M23-N23</f>
        <v/>
      </c>
      <c r="P23" s="4">
        <f>Inputs!$B$11</f>
        <v/>
      </c>
      <c r="Q23" s="4">
        <f>Inputs!$B$12</f>
        <v/>
      </c>
      <c r="R23" s="4">
        <f>O23-P23-Q23</f>
        <v/>
      </c>
      <c r="S23" s="4">
        <f>K23*Inputs!$B$13*(Inputs!$B$14-Inputs!$B$10)</f>
        <v/>
      </c>
      <c r="T23" s="4">
        <f>O23-S23</f>
        <v/>
      </c>
      <c r="U23" s="3">
        <f>IF(Q23=0,"",(T23-Q23)/Q23)</f>
        <v/>
      </c>
      <c r="V23" s="3">
        <f>L23-L22</f>
        <v/>
      </c>
      <c r="W23">
        <f>IF(Inputs!$B$21&lt;&gt;1,"DATA BLOCKED",IF(C23&lt;Inputs!$B$22,"INSUFFICIENT COHORT",IF(OR(D23&gt;Inputs!$B$19,V23&lt;-Inputs!$B$20),"REVIEW","OK")))</f>
        <v/>
      </c>
    </row>
    <row r="24">
      <c r="A24" t="n">
        <v>23</v>
      </c>
      <c r="B24" s="2">
        <f>EDATE(Inputs!$B$2,A24-1)</f>
        <v/>
      </c>
      <c r="C24" s="4">
        <f>G23</f>
        <v/>
      </c>
      <c r="D24" s="3">
        <f>MAX(0,MIN(1,Inputs!$B$5))</f>
        <v/>
      </c>
      <c r="E24" s="4">
        <f>C24*D24</f>
        <v/>
      </c>
      <c r="F24" s="4">
        <f>Inputs!$B$4</f>
        <v/>
      </c>
      <c r="G24" s="4">
        <f>C24-E24+F24</f>
        <v/>
      </c>
      <c r="H24" s="4">
        <f>Inputs!$B$6*(1+Inputs!$B$7)^(A24-1)</f>
        <v/>
      </c>
      <c r="I24" s="4">
        <f>(C24+G24)/2*H24</f>
        <v/>
      </c>
      <c r="J24" s="4">
        <f>I24*Inputs!$B$8</f>
        <v/>
      </c>
      <c r="K24" s="4">
        <f>I24-J24</f>
        <v/>
      </c>
      <c r="L24" s="3">
        <f>MAX(0,MIN(1,Inputs!$B$9))</f>
        <v/>
      </c>
      <c r="M24" s="4">
        <f>K24*L24</f>
        <v/>
      </c>
      <c r="N24" s="4">
        <f>K24*Inputs!$B$10</f>
        <v/>
      </c>
      <c r="O24" s="4">
        <f>M24-N24</f>
        <v/>
      </c>
      <c r="P24" s="4">
        <f>Inputs!$B$11</f>
        <v/>
      </c>
      <c r="Q24" s="4">
        <f>Inputs!$B$12</f>
        <v/>
      </c>
      <c r="R24" s="4">
        <f>O24-P24-Q24</f>
        <v/>
      </c>
      <c r="S24" s="4">
        <f>K24*Inputs!$B$13*(Inputs!$B$14-Inputs!$B$10)</f>
        <v/>
      </c>
      <c r="T24" s="4">
        <f>O24-S24</f>
        <v/>
      </c>
      <c r="U24" s="3">
        <f>IF(Q24=0,"",(T24-Q24)/Q24)</f>
        <v/>
      </c>
      <c r="V24" s="3">
        <f>L24-L23</f>
        <v/>
      </c>
      <c r="W24">
        <f>IF(Inputs!$B$21&lt;&gt;1,"DATA BLOCKED",IF(C24&lt;Inputs!$B$22,"INSUFFICIENT COHORT",IF(OR(D24&gt;Inputs!$B$19,V24&lt;-Inputs!$B$20),"REVIEW","OK")))</f>
        <v/>
      </c>
    </row>
    <row r="25">
      <c r="A25" t="n">
        <v>24</v>
      </c>
      <c r="B25" s="2">
        <f>EDATE(Inputs!$B$2,A25-1)</f>
        <v/>
      </c>
      <c r="C25" s="4">
        <f>G24</f>
        <v/>
      </c>
      <c r="D25" s="3">
        <f>MAX(0,MIN(1,Inputs!$B$5))</f>
        <v/>
      </c>
      <c r="E25" s="4">
        <f>C25*D25</f>
        <v/>
      </c>
      <c r="F25" s="4">
        <f>Inputs!$B$4</f>
        <v/>
      </c>
      <c r="G25" s="4">
        <f>C25-E25+F25</f>
        <v/>
      </c>
      <c r="H25" s="4">
        <f>Inputs!$B$6*(1+Inputs!$B$7)^(A25-1)</f>
        <v/>
      </c>
      <c r="I25" s="4">
        <f>(C25+G25)/2*H25</f>
        <v/>
      </c>
      <c r="J25" s="4">
        <f>I25*Inputs!$B$8</f>
        <v/>
      </c>
      <c r="K25" s="4">
        <f>I25-J25</f>
        <v/>
      </c>
      <c r="L25" s="3">
        <f>MAX(0,MIN(1,Inputs!$B$9))</f>
        <v/>
      </c>
      <c r="M25" s="4">
        <f>K25*L25</f>
        <v/>
      </c>
      <c r="N25" s="4">
        <f>K25*Inputs!$B$10</f>
        <v/>
      </c>
      <c r="O25" s="4">
        <f>M25-N25</f>
        <v/>
      </c>
      <c r="P25" s="4">
        <f>Inputs!$B$11</f>
        <v/>
      </c>
      <c r="Q25" s="4">
        <f>Inputs!$B$12</f>
        <v/>
      </c>
      <c r="R25" s="4">
        <f>O25-P25-Q25</f>
        <v/>
      </c>
      <c r="S25" s="4">
        <f>K25*Inputs!$B$13*(Inputs!$B$14-Inputs!$B$10)</f>
        <v/>
      </c>
      <c r="T25" s="4">
        <f>O25-S25</f>
        <v/>
      </c>
      <c r="U25" s="3">
        <f>IF(Q25=0,"",(T25-Q25)/Q25)</f>
        <v/>
      </c>
      <c r="V25" s="3">
        <f>L25-L24</f>
        <v/>
      </c>
      <c r="W25">
        <f>IF(Inputs!$B$21&lt;&gt;1,"DATA BLOCKED",IF(C25&lt;Inputs!$B$22,"INSUFFICIENT COHORT",IF(OR(D25&gt;Inputs!$B$19,V25&lt;-Inputs!$B$20),"REVIEW","OK")))</f>
        <v/>
      </c>
    </row>
    <row r="26">
      <c r="A26" t="n">
        <v>25</v>
      </c>
      <c r="B26" s="2">
        <f>EDATE(Inputs!$B$2,A26-1)</f>
        <v/>
      </c>
      <c r="C26" s="4">
        <f>G25</f>
        <v/>
      </c>
      <c r="D26" s="3">
        <f>MAX(0,MIN(1,Inputs!$B$5))</f>
        <v/>
      </c>
      <c r="E26" s="4">
        <f>C26*D26</f>
        <v/>
      </c>
      <c r="F26" s="4">
        <f>Inputs!$B$4</f>
        <v/>
      </c>
      <c r="G26" s="4">
        <f>C26-E26+F26</f>
        <v/>
      </c>
      <c r="H26" s="4">
        <f>Inputs!$B$6*(1+Inputs!$B$7)^(A26-1)</f>
        <v/>
      </c>
      <c r="I26" s="4">
        <f>(C26+G26)/2*H26</f>
        <v/>
      </c>
      <c r="J26" s="4">
        <f>I26*Inputs!$B$8</f>
        <v/>
      </c>
      <c r="K26" s="4">
        <f>I26-J26</f>
        <v/>
      </c>
      <c r="L26" s="3">
        <f>MAX(0,MIN(1,Inputs!$B$9))</f>
        <v/>
      </c>
      <c r="M26" s="4">
        <f>K26*L26</f>
        <v/>
      </c>
      <c r="N26" s="4">
        <f>K26*Inputs!$B$10</f>
        <v/>
      </c>
      <c r="O26" s="4">
        <f>M26-N26</f>
        <v/>
      </c>
      <c r="P26" s="4">
        <f>Inputs!$B$11</f>
        <v/>
      </c>
      <c r="Q26" s="4">
        <f>Inputs!$B$12</f>
        <v/>
      </c>
      <c r="R26" s="4">
        <f>O26-P26-Q26</f>
        <v/>
      </c>
      <c r="S26" s="4">
        <f>K26*Inputs!$B$13*(Inputs!$B$14-Inputs!$B$10)</f>
        <v/>
      </c>
      <c r="T26" s="4">
        <f>O26-S26</f>
        <v/>
      </c>
      <c r="U26" s="3">
        <f>IF(Q26=0,"",(T26-Q26)/Q26)</f>
        <v/>
      </c>
      <c r="V26" s="3">
        <f>L26-L25</f>
        <v/>
      </c>
      <c r="W26">
        <f>IF(Inputs!$B$21&lt;&gt;1,"DATA BLOCKED",IF(C26&lt;Inputs!$B$22,"INSUFFICIENT COHORT",IF(OR(D26&gt;Inputs!$B$19,V26&lt;-Inputs!$B$20),"REVIEW","OK")))</f>
        <v/>
      </c>
    </row>
    <row r="27">
      <c r="A27" t="n">
        <v>26</v>
      </c>
      <c r="B27" s="2">
        <f>EDATE(Inputs!$B$2,A27-1)</f>
        <v/>
      </c>
      <c r="C27" s="4">
        <f>G26</f>
        <v/>
      </c>
      <c r="D27" s="3">
        <f>MAX(0,MIN(1,Inputs!$B$5))</f>
        <v/>
      </c>
      <c r="E27" s="4">
        <f>C27*D27</f>
        <v/>
      </c>
      <c r="F27" s="4">
        <f>Inputs!$B$4</f>
        <v/>
      </c>
      <c r="G27" s="4">
        <f>C27-E27+F27</f>
        <v/>
      </c>
      <c r="H27" s="4">
        <f>Inputs!$B$6*(1+Inputs!$B$7)^(A27-1)</f>
        <v/>
      </c>
      <c r="I27" s="4">
        <f>(C27+G27)/2*H27</f>
        <v/>
      </c>
      <c r="J27" s="4">
        <f>I27*Inputs!$B$8</f>
        <v/>
      </c>
      <c r="K27" s="4">
        <f>I27-J27</f>
        <v/>
      </c>
      <c r="L27" s="3">
        <f>MAX(0,MIN(1,Inputs!$B$9))</f>
        <v/>
      </c>
      <c r="M27" s="4">
        <f>K27*L27</f>
        <v/>
      </c>
      <c r="N27" s="4">
        <f>K27*Inputs!$B$10</f>
        <v/>
      </c>
      <c r="O27" s="4">
        <f>M27-N27</f>
        <v/>
      </c>
      <c r="P27" s="4">
        <f>Inputs!$B$11</f>
        <v/>
      </c>
      <c r="Q27" s="4">
        <f>Inputs!$B$12</f>
        <v/>
      </c>
      <c r="R27" s="4">
        <f>O27-P27-Q27</f>
        <v/>
      </c>
      <c r="S27" s="4">
        <f>K27*Inputs!$B$13*(Inputs!$B$14-Inputs!$B$10)</f>
        <v/>
      </c>
      <c r="T27" s="4">
        <f>O27-S27</f>
        <v/>
      </c>
      <c r="U27" s="3">
        <f>IF(Q27=0,"",(T27-Q27)/Q27)</f>
        <v/>
      </c>
      <c r="V27" s="3">
        <f>L27-L26</f>
        <v/>
      </c>
      <c r="W27">
        <f>IF(Inputs!$B$21&lt;&gt;1,"DATA BLOCKED",IF(C27&lt;Inputs!$B$22,"INSUFFICIENT COHORT",IF(OR(D27&gt;Inputs!$B$19,V27&lt;-Inputs!$B$20),"REVIEW","OK")))</f>
        <v/>
      </c>
    </row>
    <row r="28">
      <c r="A28" t="n">
        <v>27</v>
      </c>
      <c r="B28" s="2">
        <f>EDATE(Inputs!$B$2,A28-1)</f>
        <v/>
      </c>
      <c r="C28" s="4">
        <f>G27</f>
        <v/>
      </c>
      <c r="D28" s="3">
        <f>MAX(0,MIN(1,Inputs!$B$5))</f>
        <v/>
      </c>
      <c r="E28" s="4">
        <f>C28*D28</f>
        <v/>
      </c>
      <c r="F28" s="4">
        <f>Inputs!$B$4</f>
        <v/>
      </c>
      <c r="G28" s="4">
        <f>C28-E28+F28</f>
        <v/>
      </c>
      <c r="H28" s="4">
        <f>Inputs!$B$6*(1+Inputs!$B$7)^(A28-1)</f>
        <v/>
      </c>
      <c r="I28" s="4">
        <f>(C28+G28)/2*H28</f>
        <v/>
      </c>
      <c r="J28" s="4">
        <f>I28*Inputs!$B$8</f>
        <v/>
      </c>
      <c r="K28" s="4">
        <f>I28-J28</f>
        <v/>
      </c>
      <c r="L28" s="3">
        <f>MAX(0,MIN(1,Inputs!$B$9))</f>
        <v/>
      </c>
      <c r="M28" s="4">
        <f>K28*L28</f>
        <v/>
      </c>
      <c r="N28" s="4">
        <f>K28*Inputs!$B$10</f>
        <v/>
      </c>
      <c r="O28" s="4">
        <f>M28-N28</f>
        <v/>
      </c>
      <c r="P28" s="4">
        <f>Inputs!$B$11</f>
        <v/>
      </c>
      <c r="Q28" s="4">
        <f>Inputs!$B$12</f>
        <v/>
      </c>
      <c r="R28" s="4">
        <f>O28-P28-Q28</f>
        <v/>
      </c>
      <c r="S28" s="4">
        <f>K28*Inputs!$B$13*(Inputs!$B$14-Inputs!$B$10)</f>
        <v/>
      </c>
      <c r="T28" s="4">
        <f>O28-S28</f>
        <v/>
      </c>
      <c r="U28" s="3">
        <f>IF(Q28=0,"",(T28-Q28)/Q28)</f>
        <v/>
      </c>
      <c r="V28" s="3">
        <f>L28-L27</f>
        <v/>
      </c>
      <c r="W28">
        <f>IF(Inputs!$B$21&lt;&gt;1,"DATA BLOCKED",IF(C28&lt;Inputs!$B$22,"INSUFFICIENT COHORT",IF(OR(D28&gt;Inputs!$B$19,V28&lt;-Inputs!$B$20),"REVIEW","OK")))</f>
        <v/>
      </c>
    </row>
    <row r="29">
      <c r="A29" t="n">
        <v>28</v>
      </c>
      <c r="B29" s="2">
        <f>EDATE(Inputs!$B$2,A29-1)</f>
        <v/>
      </c>
      <c r="C29" s="4">
        <f>G28</f>
        <v/>
      </c>
      <c r="D29" s="3">
        <f>MAX(0,MIN(1,Inputs!$B$5))</f>
        <v/>
      </c>
      <c r="E29" s="4">
        <f>C29*D29</f>
        <v/>
      </c>
      <c r="F29" s="4">
        <f>Inputs!$B$4</f>
        <v/>
      </c>
      <c r="G29" s="4">
        <f>C29-E29+F29</f>
        <v/>
      </c>
      <c r="H29" s="4">
        <f>Inputs!$B$6*(1+Inputs!$B$7)^(A29-1)</f>
        <v/>
      </c>
      <c r="I29" s="4">
        <f>(C29+G29)/2*H29</f>
        <v/>
      </c>
      <c r="J29" s="4">
        <f>I29*Inputs!$B$8</f>
        <v/>
      </c>
      <c r="K29" s="4">
        <f>I29-J29</f>
        <v/>
      </c>
      <c r="L29" s="3">
        <f>MAX(0,MIN(1,Inputs!$B$9))</f>
        <v/>
      </c>
      <c r="M29" s="4">
        <f>K29*L29</f>
        <v/>
      </c>
      <c r="N29" s="4">
        <f>K29*Inputs!$B$10</f>
        <v/>
      </c>
      <c r="O29" s="4">
        <f>M29-N29</f>
        <v/>
      </c>
      <c r="P29" s="4">
        <f>Inputs!$B$11</f>
        <v/>
      </c>
      <c r="Q29" s="4">
        <f>Inputs!$B$12</f>
        <v/>
      </c>
      <c r="R29" s="4">
        <f>O29-P29-Q29</f>
        <v/>
      </c>
      <c r="S29" s="4">
        <f>K29*Inputs!$B$13*(Inputs!$B$14-Inputs!$B$10)</f>
        <v/>
      </c>
      <c r="T29" s="4">
        <f>O29-S29</f>
        <v/>
      </c>
      <c r="U29" s="3">
        <f>IF(Q29=0,"",(T29-Q29)/Q29)</f>
        <v/>
      </c>
      <c r="V29" s="3">
        <f>L29-L28</f>
        <v/>
      </c>
      <c r="W29">
        <f>IF(Inputs!$B$21&lt;&gt;1,"DATA BLOCKED",IF(C29&lt;Inputs!$B$22,"INSUFFICIENT COHORT",IF(OR(D29&gt;Inputs!$B$19,V29&lt;-Inputs!$B$20),"REVIEW","OK")))</f>
        <v/>
      </c>
    </row>
    <row r="30">
      <c r="A30" t="n">
        <v>29</v>
      </c>
      <c r="B30" s="2">
        <f>EDATE(Inputs!$B$2,A30-1)</f>
        <v/>
      </c>
      <c r="C30" s="4">
        <f>G29</f>
        <v/>
      </c>
      <c r="D30" s="3">
        <f>MAX(0,MIN(1,Inputs!$B$5))</f>
        <v/>
      </c>
      <c r="E30" s="4">
        <f>C30*D30</f>
        <v/>
      </c>
      <c r="F30" s="4">
        <f>Inputs!$B$4</f>
        <v/>
      </c>
      <c r="G30" s="4">
        <f>C30-E30+F30</f>
        <v/>
      </c>
      <c r="H30" s="4">
        <f>Inputs!$B$6*(1+Inputs!$B$7)^(A30-1)</f>
        <v/>
      </c>
      <c r="I30" s="4">
        <f>(C30+G30)/2*H30</f>
        <v/>
      </c>
      <c r="J30" s="4">
        <f>I30*Inputs!$B$8</f>
        <v/>
      </c>
      <c r="K30" s="4">
        <f>I30-J30</f>
        <v/>
      </c>
      <c r="L30" s="3">
        <f>MAX(0,MIN(1,Inputs!$B$9))</f>
        <v/>
      </c>
      <c r="M30" s="4">
        <f>K30*L30</f>
        <v/>
      </c>
      <c r="N30" s="4">
        <f>K30*Inputs!$B$10</f>
        <v/>
      </c>
      <c r="O30" s="4">
        <f>M30-N30</f>
        <v/>
      </c>
      <c r="P30" s="4">
        <f>Inputs!$B$11</f>
        <v/>
      </c>
      <c r="Q30" s="4">
        <f>Inputs!$B$12</f>
        <v/>
      </c>
      <c r="R30" s="4">
        <f>O30-P30-Q30</f>
        <v/>
      </c>
      <c r="S30" s="4">
        <f>K30*Inputs!$B$13*(Inputs!$B$14-Inputs!$B$10)</f>
        <v/>
      </c>
      <c r="T30" s="4">
        <f>O30-S30</f>
        <v/>
      </c>
      <c r="U30" s="3">
        <f>IF(Q30=0,"",(T30-Q30)/Q30)</f>
        <v/>
      </c>
      <c r="V30" s="3">
        <f>L30-L29</f>
        <v/>
      </c>
      <c r="W30">
        <f>IF(Inputs!$B$21&lt;&gt;1,"DATA BLOCKED",IF(C30&lt;Inputs!$B$22,"INSUFFICIENT COHORT",IF(OR(D30&gt;Inputs!$B$19,V30&lt;-Inputs!$B$20),"REVIEW","OK")))</f>
        <v/>
      </c>
    </row>
    <row r="31">
      <c r="A31" t="n">
        <v>30</v>
      </c>
      <c r="B31" s="2">
        <f>EDATE(Inputs!$B$2,A31-1)</f>
        <v/>
      </c>
      <c r="C31" s="4">
        <f>G30</f>
        <v/>
      </c>
      <c r="D31" s="3">
        <f>MAX(0,MIN(1,Inputs!$B$5))</f>
        <v/>
      </c>
      <c r="E31" s="4">
        <f>C31*D31</f>
        <v/>
      </c>
      <c r="F31" s="4">
        <f>Inputs!$B$4</f>
        <v/>
      </c>
      <c r="G31" s="4">
        <f>C31-E31+F31</f>
        <v/>
      </c>
      <c r="H31" s="4">
        <f>Inputs!$B$6*(1+Inputs!$B$7)^(A31-1)</f>
        <v/>
      </c>
      <c r="I31" s="4">
        <f>(C31+G31)/2*H31</f>
        <v/>
      </c>
      <c r="J31" s="4">
        <f>I31*Inputs!$B$8</f>
        <v/>
      </c>
      <c r="K31" s="4">
        <f>I31-J31</f>
        <v/>
      </c>
      <c r="L31" s="3">
        <f>MAX(0,MIN(1,Inputs!$B$9))</f>
        <v/>
      </c>
      <c r="M31" s="4">
        <f>K31*L31</f>
        <v/>
      </c>
      <c r="N31" s="4">
        <f>K31*Inputs!$B$10</f>
        <v/>
      </c>
      <c r="O31" s="4">
        <f>M31-N31</f>
        <v/>
      </c>
      <c r="P31" s="4">
        <f>Inputs!$B$11</f>
        <v/>
      </c>
      <c r="Q31" s="4">
        <f>Inputs!$B$12</f>
        <v/>
      </c>
      <c r="R31" s="4">
        <f>O31-P31-Q31</f>
        <v/>
      </c>
      <c r="S31" s="4">
        <f>K31*Inputs!$B$13*(Inputs!$B$14-Inputs!$B$10)</f>
        <v/>
      </c>
      <c r="T31" s="4">
        <f>O31-S31</f>
        <v/>
      </c>
      <c r="U31" s="3">
        <f>IF(Q31=0,"",(T31-Q31)/Q31)</f>
        <v/>
      </c>
      <c r="V31" s="3">
        <f>L31-L30</f>
        <v/>
      </c>
      <c r="W31">
        <f>IF(Inputs!$B$21&lt;&gt;1,"DATA BLOCKED",IF(C31&lt;Inputs!$B$22,"INSUFFICIENT COHORT",IF(OR(D31&gt;Inputs!$B$19,V31&lt;-Inputs!$B$20),"REVIEW","OK")))</f>
        <v/>
      </c>
    </row>
    <row r="32">
      <c r="A32" t="n">
        <v>31</v>
      </c>
      <c r="B32" s="2">
        <f>EDATE(Inputs!$B$2,A32-1)</f>
        <v/>
      </c>
      <c r="C32" s="4">
        <f>G31</f>
        <v/>
      </c>
      <c r="D32" s="3">
        <f>MAX(0,MIN(1,Inputs!$B$5))</f>
        <v/>
      </c>
      <c r="E32" s="4">
        <f>C32*D32</f>
        <v/>
      </c>
      <c r="F32" s="4">
        <f>Inputs!$B$4</f>
        <v/>
      </c>
      <c r="G32" s="4">
        <f>C32-E32+F32</f>
        <v/>
      </c>
      <c r="H32" s="4">
        <f>Inputs!$B$6*(1+Inputs!$B$7)^(A32-1)</f>
        <v/>
      </c>
      <c r="I32" s="4">
        <f>(C32+G32)/2*H32</f>
        <v/>
      </c>
      <c r="J32" s="4">
        <f>I32*Inputs!$B$8</f>
        <v/>
      </c>
      <c r="K32" s="4">
        <f>I32-J32</f>
        <v/>
      </c>
      <c r="L32" s="3">
        <f>MAX(0,MIN(1,Inputs!$B$9))</f>
        <v/>
      </c>
      <c r="M32" s="4">
        <f>K32*L32</f>
        <v/>
      </c>
      <c r="N32" s="4">
        <f>K32*Inputs!$B$10</f>
        <v/>
      </c>
      <c r="O32" s="4">
        <f>M32-N32</f>
        <v/>
      </c>
      <c r="P32" s="4">
        <f>Inputs!$B$11</f>
        <v/>
      </c>
      <c r="Q32" s="4">
        <f>Inputs!$B$12</f>
        <v/>
      </c>
      <c r="R32" s="4">
        <f>O32-P32-Q32</f>
        <v/>
      </c>
      <c r="S32" s="4">
        <f>K32*Inputs!$B$13*(Inputs!$B$14-Inputs!$B$10)</f>
        <v/>
      </c>
      <c r="T32" s="4">
        <f>O32-S32</f>
        <v/>
      </c>
      <c r="U32" s="3">
        <f>IF(Q32=0,"",(T32-Q32)/Q32)</f>
        <v/>
      </c>
      <c r="V32" s="3">
        <f>L32-L31</f>
        <v/>
      </c>
      <c r="W32">
        <f>IF(Inputs!$B$21&lt;&gt;1,"DATA BLOCKED",IF(C32&lt;Inputs!$B$22,"INSUFFICIENT COHORT",IF(OR(D32&gt;Inputs!$B$19,V32&lt;-Inputs!$B$20),"REVIEW","OK")))</f>
        <v/>
      </c>
    </row>
    <row r="33">
      <c r="A33" t="n">
        <v>32</v>
      </c>
      <c r="B33" s="2">
        <f>EDATE(Inputs!$B$2,A33-1)</f>
        <v/>
      </c>
      <c r="C33" s="4">
        <f>G32</f>
        <v/>
      </c>
      <c r="D33" s="3">
        <f>MAX(0,MIN(1,Inputs!$B$5))</f>
        <v/>
      </c>
      <c r="E33" s="4">
        <f>C33*D33</f>
        <v/>
      </c>
      <c r="F33" s="4">
        <f>Inputs!$B$4</f>
        <v/>
      </c>
      <c r="G33" s="4">
        <f>C33-E33+F33</f>
        <v/>
      </c>
      <c r="H33" s="4">
        <f>Inputs!$B$6*(1+Inputs!$B$7)^(A33-1)</f>
        <v/>
      </c>
      <c r="I33" s="4">
        <f>(C33+G33)/2*H33</f>
        <v/>
      </c>
      <c r="J33" s="4">
        <f>I33*Inputs!$B$8</f>
        <v/>
      </c>
      <c r="K33" s="4">
        <f>I33-J33</f>
        <v/>
      </c>
      <c r="L33" s="3">
        <f>MAX(0,MIN(1,Inputs!$B$9))</f>
        <v/>
      </c>
      <c r="M33" s="4">
        <f>K33*L33</f>
        <v/>
      </c>
      <c r="N33" s="4">
        <f>K33*Inputs!$B$10</f>
        <v/>
      </c>
      <c r="O33" s="4">
        <f>M33-N33</f>
        <v/>
      </c>
      <c r="P33" s="4">
        <f>Inputs!$B$11</f>
        <v/>
      </c>
      <c r="Q33" s="4">
        <f>Inputs!$B$12</f>
        <v/>
      </c>
      <c r="R33" s="4">
        <f>O33-P33-Q33</f>
        <v/>
      </c>
      <c r="S33" s="4">
        <f>K33*Inputs!$B$13*(Inputs!$B$14-Inputs!$B$10)</f>
        <v/>
      </c>
      <c r="T33" s="4">
        <f>O33-S33</f>
        <v/>
      </c>
      <c r="U33" s="3">
        <f>IF(Q33=0,"",(T33-Q33)/Q33)</f>
        <v/>
      </c>
      <c r="V33" s="3">
        <f>L33-L32</f>
        <v/>
      </c>
      <c r="W33">
        <f>IF(Inputs!$B$21&lt;&gt;1,"DATA BLOCKED",IF(C33&lt;Inputs!$B$22,"INSUFFICIENT COHORT",IF(OR(D33&gt;Inputs!$B$19,V33&lt;-Inputs!$B$20),"REVIEW","OK")))</f>
        <v/>
      </c>
    </row>
    <row r="34">
      <c r="A34" t="n">
        <v>33</v>
      </c>
      <c r="B34" s="2">
        <f>EDATE(Inputs!$B$2,A34-1)</f>
        <v/>
      </c>
      <c r="C34" s="4">
        <f>G33</f>
        <v/>
      </c>
      <c r="D34" s="3">
        <f>MAX(0,MIN(1,Inputs!$B$5))</f>
        <v/>
      </c>
      <c r="E34" s="4">
        <f>C34*D34</f>
        <v/>
      </c>
      <c r="F34" s="4">
        <f>Inputs!$B$4</f>
        <v/>
      </c>
      <c r="G34" s="4">
        <f>C34-E34+F34</f>
        <v/>
      </c>
      <c r="H34" s="4">
        <f>Inputs!$B$6*(1+Inputs!$B$7)^(A34-1)</f>
        <v/>
      </c>
      <c r="I34" s="4">
        <f>(C34+G34)/2*H34</f>
        <v/>
      </c>
      <c r="J34" s="4">
        <f>I34*Inputs!$B$8</f>
        <v/>
      </c>
      <c r="K34" s="4">
        <f>I34-J34</f>
        <v/>
      </c>
      <c r="L34" s="3">
        <f>MAX(0,MIN(1,Inputs!$B$9))</f>
        <v/>
      </c>
      <c r="M34" s="4">
        <f>K34*L34</f>
        <v/>
      </c>
      <c r="N34" s="4">
        <f>K34*Inputs!$B$10</f>
        <v/>
      </c>
      <c r="O34" s="4">
        <f>M34-N34</f>
        <v/>
      </c>
      <c r="P34" s="4">
        <f>Inputs!$B$11</f>
        <v/>
      </c>
      <c r="Q34" s="4">
        <f>Inputs!$B$12</f>
        <v/>
      </c>
      <c r="R34" s="4">
        <f>O34-P34-Q34</f>
        <v/>
      </c>
      <c r="S34" s="4">
        <f>K34*Inputs!$B$13*(Inputs!$B$14-Inputs!$B$10)</f>
        <v/>
      </c>
      <c r="T34" s="4">
        <f>O34-S34</f>
        <v/>
      </c>
      <c r="U34" s="3">
        <f>IF(Q34=0,"",(T34-Q34)/Q34)</f>
        <v/>
      </c>
      <c r="V34" s="3">
        <f>L34-L33</f>
        <v/>
      </c>
      <c r="W34">
        <f>IF(Inputs!$B$21&lt;&gt;1,"DATA BLOCKED",IF(C34&lt;Inputs!$B$22,"INSUFFICIENT COHORT",IF(OR(D34&gt;Inputs!$B$19,V34&lt;-Inputs!$B$20),"REVIEW","OK")))</f>
        <v/>
      </c>
    </row>
    <row r="35">
      <c r="A35" t="n">
        <v>34</v>
      </c>
      <c r="B35" s="2">
        <f>EDATE(Inputs!$B$2,A35-1)</f>
        <v/>
      </c>
      <c r="C35" s="4">
        <f>G34</f>
        <v/>
      </c>
      <c r="D35" s="3">
        <f>MAX(0,MIN(1,Inputs!$B$5))</f>
        <v/>
      </c>
      <c r="E35" s="4">
        <f>C35*D35</f>
        <v/>
      </c>
      <c r="F35" s="4">
        <f>Inputs!$B$4</f>
        <v/>
      </c>
      <c r="G35" s="4">
        <f>C35-E35+F35</f>
        <v/>
      </c>
      <c r="H35" s="4">
        <f>Inputs!$B$6*(1+Inputs!$B$7)^(A35-1)</f>
        <v/>
      </c>
      <c r="I35" s="4">
        <f>(C35+G35)/2*H35</f>
        <v/>
      </c>
      <c r="J35" s="4">
        <f>I35*Inputs!$B$8</f>
        <v/>
      </c>
      <c r="K35" s="4">
        <f>I35-J35</f>
        <v/>
      </c>
      <c r="L35" s="3">
        <f>MAX(0,MIN(1,Inputs!$B$9))</f>
        <v/>
      </c>
      <c r="M35" s="4">
        <f>K35*L35</f>
        <v/>
      </c>
      <c r="N35" s="4">
        <f>K35*Inputs!$B$10</f>
        <v/>
      </c>
      <c r="O35" s="4">
        <f>M35-N35</f>
        <v/>
      </c>
      <c r="P35" s="4">
        <f>Inputs!$B$11</f>
        <v/>
      </c>
      <c r="Q35" s="4">
        <f>Inputs!$B$12</f>
        <v/>
      </c>
      <c r="R35" s="4">
        <f>O35-P35-Q35</f>
        <v/>
      </c>
      <c r="S35" s="4">
        <f>K35*Inputs!$B$13*(Inputs!$B$14-Inputs!$B$10)</f>
        <v/>
      </c>
      <c r="T35" s="4">
        <f>O35-S35</f>
        <v/>
      </c>
      <c r="U35" s="3">
        <f>IF(Q35=0,"",(T35-Q35)/Q35)</f>
        <v/>
      </c>
      <c r="V35" s="3">
        <f>L35-L34</f>
        <v/>
      </c>
      <c r="W35">
        <f>IF(Inputs!$B$21&lt;&gt;1,"DATA BLOCKED",IF(C35&lt;Inputs!$B$22,"INSUFFICIENT COHORT",IF(OR(D35&gt;Inputs!$B$19,V35&lt;-Inputs!$B$20),"REVIEW","OK")))</f>
        <v/>
      </c>
    </row>
    <row r="36">
      <c r="A36" t="n">
        <v>35</v>
      </c>
      <c r="B36" s="2">
        <f>EDATE(Inputs!$B$2,A36-1)</f>
        <v/>
      </c>
      <c r="C36" s="4">
        <f>G35</f>
        <v/>
      </c>
      <c r="D36" s="3">
        <f>MAX(0,MIN(1,Inputs!$B$5))</f>
        <v/>
      </c>
      <c r="E36" s="4">
        <f>C36*D36</f>
        <v/>
      </c>
      <c r="F36" s="4">
        <f>Inputs!$B$4</f>
        <v/>
      </c>
      <c r="G36" s="4">
        <f>C36-E36+F36</f>
        <v/>
      </c>
      <c r="H36" s="4">
        <f>Inputs!$B$6*(1+Inputs!$B$7)^(A36-1)</f>
        <v/>
      </c>
      <c r="I36" s="4">
        <f>(C36+G36)/2*H36</f>
        <v/>
      </c>
      <c r="J36" s="4">
        <f>I36*Inputs!$B$8</f>
        <v/>
      </c>
      <c r="K36" s="4">
        <f>I36-J36</f>
        <v/>
      </c>
      <c r="L36" s="3">
        <f>MAX(0,MIN(1,Inputs!$B$9))</f>
        <v/>
      </c>
      <c r="M36" s="4">
        <f>K36*L36</f>
        <v/>
      </c>
      <c r="N36" s="4">
        <f>K36*Inputs!$B$10</f>
        <v/>
      </c>
      <c r="O36" s="4">
        <f>M36-N36</f>
        <v/>
      </c>
      <c r="P36" s="4">
        <f>Inputs!$B$11</f>
        <v/>
      </c>
      <c r="Q36" s="4">
        <f>Inputs!$B$12</f>
        <v/>
      </c>
      <c r="R36" s="4">
        <f>O36-P36-Q36</f>
        <v/>
      </c>
      <c r="S36" s="4">
        <f>K36*Inputs!$B$13*(Inputs!$B$14-Inputs!$B$10)</f>
        <v/>
      </c>
      <c r="T36" s="4">
        <f>O36-S36</f>
        <v/>
      </c>
      <c r="U36" s="3">
        <f>IF(Q36=0,"",(T36-Q36)/Q36)</f>
        <v/>
      </c>
      <c r="V36" s="3">
        <f>L36-L35</f>
        <v/>
      </c>
      <c r="W36">
        <f>IF(Inputs!$B$21&lt;&gt;1,"DATA BLOCKED",IF(C36&lt;Inputs!$B$22,"INSUFFICIENT COHORT",IF(OR(D36&gt;Inputs!$B$19,V36&lt;-Inputs!$B$20),"REVIEW","OK")))</f>
        <v/>
      </c>
    </row>
    <row r="37">
      <c r="A37" t="n">
        <v>36</v>
      </c>
      <c r="B37" s="2">
        <f>EDATE(Inputs!$B$2,A37-1)</f>
        <v/>
      </c>
      <c r="C37" s="4">
        <f>G36</f>
        <v/>
      </c>
      <c r="D37" s="3">
        <f>MAX(0,MIN(1,Inputs!$B$5))</f>
        <v/>
      </c>
      <c r="E37" s="4">
        <f>C37*D37</f>
        <v/>
      </c>
      <c r="F37" s="4">
        <f>Inputs!$B$4</f>
        <v/>
      </c>
      <c r="G37" s="4">
        <f>C37-E37+F37</f>
        <v/>
      </c>
      <c r="H37" s="4">
        <f>Inputs!$B$6*(1+Inputs!$B$7)^(A37-1)</f>
        <v/>
      </c>
      <c r="I37" s="4">
        <f>(C37+G37)/2*H37</f>
        <v/>
      </c>
      <c r="J37" s="4">
        <f>I37*Inputs!$B$8</f>
        <v/>
      </c>
      <c r="K37" s="4">
        <f>I37-J37</f>
        <v/>
      </c>
      <c r="L37" s="3">
        <f>MAX(0,MIN(1,Inputs!$B$9))</f>
        <v/>
      </c>
      <c r="M37" s="4">
        <f>K37*L37</f>
        <v/>
      </c>
      <c r="N37" s="4">
        <f>K37*Inputs!$B$10</f>
        <v/>
      </c>
      <c r="O37" s="4">
        <f>M37-N37</f>
        <v/>
      </c>
      <c r="P37" s="4">
        <f>Inputs!$B$11</f>
        <v/>
      </c>
      <c r="Q37" s="4">
        <f>Inputs!$B$12</f>
        <v/>
      </c>
      <c r="R37" s="4">
        <f>O37-P37-Q37</f>
        <v/>
      </c>
      <c r="S37" s="4">
        <f>K37*Inputs!$B$13*(Inputs!$B$14-Inputs!$B$10)</f>
        <v/>
      </c>
      <c r="T37" s="4">
        <f>O37-S37</f>
        <v/>
      </c>
      <c r="U37" s="3">
        <f>IF(Q37=0,"",(T37-Q37)/Q37)</f>
        <v/>
      </c>
      <c r="V37" s="3">
        <f>L37-L36</f>
        <v/>
      </c>
      <c r="W37">
        <f>IF(Inputs!$B$21&lt;&gt;1,"DATA BLOCKED",IF(C37&lt;Inputs!$B$22,"INSUFFICIENT COHORT",IF(OR(D37&gt;Inputs!$B$19,V37&lt;-Inputs!$B$20),"REVIEW","OK")))</f>
        <v/>
      </c>
    </row>
  </sheetData>
  <autoFilter ref="A1:W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Begin partners</t>
        </is>
      </c>
      <c r="D1" s="1" t="inlineStr">
        <is>
          <t>Churn rate</t>
        </is>
      </c>
      <c r="E1" s="1" t="inlineStr">
        <is>
          <t>Exits</t>
        </is>
      </c>
      <c r="F1" s="1" t="inlineStr">
        <is>
          <t>New partners</t>
        </is>
      </c>
      <c r="G1" s="1" t="inlineStr">
        <is>
          <t>End partners</t>
        </is>
      </c>
      <c r="H1" s="1" t="inlineStr">
        <is>
          <t>Productivity</t>
        </is>
      </c>
      <c r="I1" s="1" t="inlineStr">
        <is>
          <t>Gross GMV</t>
        </is>
      </c>
      <c r="J1" s="1" t="inlineStr">
        <is>
          <t>Refunds</t>
        </is>
      </c>
      <c r="K1" s="1" t="inlineStr">
        <is>
          <t>Net GMV</t>
        </is>
      </c>
      <c r="L1" s="1" t="inlineStr">
        <is>
          <t>Take rate</t>
        </is>
      </c>
      <c r="M1" s="1" t="inlineStr">
        <is>
          <t>Net fee revenue</t>
        </is>
      </c>
      <c r="N1" s="1" t="inlineStr">
        <is>
          <t>Variable costs</t>
        </is>
      </c>
      <c r="O1" s="1" t="inlineStr">
        <is>
          <t>Contribution</t>
        </is>
      </c>
      <c r="P1" s="1" t="inlineStr">
        <is>
          <t>Fixed costs</t>
        </is>
      </c>
      <c r="Q1" s="1" t="inlineStr">
        <is>
          <t>Program cost</t>
        </is>
      </c>
      <c r="R1" s="1" t="inlineStr">
        <is>
          <t>Net operating contribution</t>
        </is>
      </c>
      <c r="S1" s="1" t="inlineStr">
        <is>
          <t>Counterfactual contribution</t>
        </is>
      </c>
      <c r="T1" s="1" t="inlineStr">
        <is>
          <t>Incremental contribution pre-program</t>
        </is>
      </c>
      <c r="U1" s="1" t="inlineStr">
        <is>
          <t>Program ROI</t>
        </is>
      </c>
      <c r="V1" s="1" t="inlineStr">
        <is>
          <t>Take rate delta</t>
        </is>
      </c>
      <c r="W1" s="1" t="inlineStr">
        <is>
          <t>Alert state</t>
        </is>
      </c>
    </row>
    <row r="2">
      <c r="A2" t="n">
        <v>1</v>
      </c>
      <c r="B2" s="2">
        <f>EDATE(Inputs!$B$2,A2-1)</f>
        <v/>
      </c>
      <c r="C2" s="4">
        <f>Inputs!$B$3</f>
        <v/>
      </c>
      <c r="D2" s="3">
        <f>MAX(0,MIN(1,Inputs!$B$5+Inputs!$B$16))</f>
        <v/>
      </c>
      <c r="E2" s="4">
        <f>C2*D2</f>
        <v/>
      </c>
      <c r="F2" s="4">
        <f>Inputs!$B$4</f>
        <v/>
      </c>
      <c r="G2" s="4">
        <f>C2-E2+F2</f>
        <v/>
      </c>
      <c r="H2" s="4">
        <f>Inputs!$B$6*(1+Inputs!$B$7)^(A2-1)</f>
        <v/>
      </c>
      <c r="I2" s="4">
        <f>(C2+G2)/2*H2</f>
        <v/>
      </c>
      <c r="J2" s="4">
        <f>I2*Inputs!$B$8</f>
        <v/>
      </c>
      <c r="K2" s="4">
        <f>I2-J2</f>
        <v/>
      </c>
      <c r="L2" s="3">
        <f>MAX(0,MIN(1,Inputs!$B$9+Inputs!$B$15))</f>
        <v/>
      </c>
      <c r="M2" s="4">
        <f>K2*L2</f>
        <v/>
      </c>
      <c r="N2" s="4">
        <f>K2*Inputs!$B$10</f>
        <v/>
      </c>
      <c r="O2" s="4">
        <f>M2-N2</f>
        <v/>
      </c>
      <c r="P2" s="4">
        <f>Inputs!$B$11</f>
        <v/>
      </c>
      <c r="Q2" s="4">
        <f>Inputs!$B$12</f>
        <v/>
      </c>
      <c r="R2" s="4">
        <f>O2-P2-Q2</f>
        <v/>
      </c>
      <c r="S2" s="4">
        <f>K2*Inputs!$B$13*(Inputs!$B$14-Inputs!$B$10)</f>
        <v/>
      </c>
      <c r="T2" s="4">
        <f>O2-S2</f>
        <v/>
      </c>
      <c r="U2" s="3">
        <f>IF(Q2=0,"",(T2-Q2)/Q2)</f>
        <v/>
      </c>
      <c r="V2" s="3">
        <f>0</f>
        <v/>
      </c>
      <c r="W2">
        <f>IF(Inputs!$B$21&lt;&gt;1,"DATA BLOCKED",IF(C2&lt;Inputs!$B$22,"INSUFFICIENT COHORT",IF(OR(D2&gt;Inputs!$B$19,V2&lt;-Inputs!$B$20),"REVIEW","OK")))</f>
        <v/>
      </c>
    </row>
    <row r="3">
      <c r="A3" t="n">
        <v>2</v>
      </c>
      <c r="B3" s="2">
        <f>EDATE(Inputs!$B$2,A3-1)</f>
        <v/>
      </c>
      <c r="C3" s="4">
        <f>G2</f>
        <v/>
      </c>
      <c r="D3" s="3">
        <f>MAX(0,MIN(1,Inputs!$B$5+Inputs!$B$16))</f>
        <v/>
      </c>
      <c r="E3" s="4">
        <f>C3*D3</f>
        <v/>
      </c>
      <c r="F3" s="4">
        <f>Inputs!$B$4</f>
        <v/>
      </c>
      <c r="G3" s="4">
        <f>C3-E3+F3</f>
        <v/>
      </c>
      <c r="H3" s="4">
        <f>Inputs!$B$6*(1+Inputs!$B$7)^(A3-1)</f>
        <v/>
      </c>
      <c r="I3" s="4">
        <f>(C3+G3)/2*H3</f>
        <v/>
      </c>
      <c r="J3" s="4">
        <f>I3*Inputs!$B$8</f>
        <v/>
      </c>
      <c r="K3" s="4">
        <f>I3-J3</f>
        <v/>
      </c>
      <c r="L3" s="3">
        <f>MAX(0,MIN(1,Inputs!$B$9+Inputs!$B$15))</f>
        <v/>
      </c>
      <c r="M3" s="4">
        <f>K3*L3</f>
        <v/>
      </c>
      <c r="N3" s="4">
        <f>K3*Inputs!$B$10</f>
        <v/>
      </c>
      <c r="O3" s="4">
        <f>M3-N3</f>
        <v/>
      </c>
      <c r="P3" s="4">
        <f>Inputs!$B$11</f>
        <v/>
      </c>
      <c r="Q3" s="4">
        <f>Inputs!$B$12</f>
        <v/>
      </c>
      <c r="R3" s="4">
        <f>O3-P3-Q3</f>
        <v/>
      </c>
      <c r="S3" s="4">
        <f>K3*Inputs!$B$13*(Inputs!$B$14-Inputs!$B$10)</f>
        <v/>
      </c>
      <c r="T3" s="4">
        <f>O3-S3</f>
        <v/>
      </c>
      <c r="U3" s="3">
        <f>IF(Q3=0,"",(T3-Q3)/Q3)</f>
        <v/>
      </c>
      <c r="V3" s="3">
        <f>L3-L2</f>
        <v/>
      </c>
      <c r="W3">
        <f>IF(Inputs!$B$21&lt;&gt;1,"DATA BLOCKED",IF(C3&lt;Inputs!$B$22,"INSUFFICIENT COHORT",IF(OR(D3&gt;Inputs!$B$19,V3&lt;-Inputs!$B$20),"REVIEW","OK")))</f>
        <v/>
      </c>
    </row>
    <row r="4">
      <c r="A4" t="n">
        <v>3</v>
      </c>
      <c r="B4" s="2">
        <f>EDATE(Inputs!$B$2,A4-1)</f>
        <v/>
      </c>
      <c r="C4" s="4">
        <f>G3</f>
        <v/>
      </c>
      <c r="D4" s="3">
        <f>MAX(0,MIN(1,Inputs!$B$5+Inputs!$B$16))</f>
        <v/>
      </c>
      <c r="E4" s="4">
        <f>C4*D4</f>
        <v/>
      </c>
      <c r="F4" s="4">
        <f>Inputs!$B$4</f>
        <v/>
      </c>
      <c r="G4" s="4">
        <f>C4-E4+F4</f>
        <v/>
      </c>
      <c r="H4" s="4">
        <f>Inputs!$B$6*(1+Inputs!$B$7)^(A4-1)</f>
        <v/>
      </c>
      <c r="I4" s="4">
        <f>(C4+G4)/2*H4</f>
        <v/>
      </c>
      <c r="J4" s="4">
        <f>I4*Inputs!$B$8</f>
        <v/>
      </c>
      <c r="K4" s="4">
        <f>I4-J4</f>
        <v/>
      </c>
      <c r="L4" s="3">
        <f>MAX(0,MIN(1,Inputs!$B$9+Inputs!$B$15))</f>
        <v/>
      </c>
      <c r="M4" s="4">
        <f>K4*L4</f>
        <v/>
      </c>
      <c r="N4" s="4">
        <f>K4*Inputs!$B$10</f>
        <v/>
      </c>
      <c r="O4" s="4">
        <f>M4-N4</f>
        <v/>
      </c>
      <c r="P4" s="4">
        <f>Inputs!$B$11</f>
        <v/>
      </c>
      <c r="Q4" s="4">
        <f>Inputs!$B$12</f>
        <v/>
      </c>
      <c r="R4" s="4">
        <f>O4-P4-Q4</f>
        <v/>
      </c>
      <c r="S4" s="4">
        <f>K4*Inputs!$B$13*(Inputs!$B$14-Inputs!$B$10)</f>
        <v/>
      </c>
      <c r="T4" s="4">
        <f>O4-S4</f>
        <v/>
      </c>
      <c r="U4" s="3">
        <f>IF(Q4=0,"",(T4-Q4)/Q4)</f>
        <v/>
      </c>
      <c r="V4" s="3">
        <f>L4-L3</f>
        <v/>
      </c>
      <c r="W4">
        <f>IF(Inputs!$B$21&lt;&gt;1,"DATA BLOCKED",IF(C4&lt;Inputs!$B$22,"INSUFFICIENT COHORT",IF(OR(D4&gt;Inputs!$B$19,V4&lt;-Inputs!$B$20),"REVIEW","OK")))</f>
        <v/>
      </c>
    </row>
    <row r="5">
      <c r="A5" t="n">
        <v>4</v>
      </c>
      <c r="B5" s="2">
        <f>EDATE(Inputs!$B$2,A5-1)</f>
        <v/>
      </c>
      <c r="C5" s="4">
        <f>G4</f>
        <v/>
      </c>
      <c r="D5" s="3">
        <f>MAX(0,MIN(1,Inputs!$B$5+Inputs!$B$16))</f>
        <v/>
      </c>
      <c r="E5" s="4">
        <f>C5*D5</f>
        <v/>
      </c>
      <c r="F5" s="4">
        <f>Inputs!$B$4</f>
        <v/>
      </c>
      <c r="G5" s="4">
        <f>C5-E5+F5</f>
        <v/>
      </c>
      <c r="H5" s="4">
        <f>Inputs!$B$6*(1+Inputs!$B$7)^(A5-1)</f>
        <v/>
      </c>
      <c r="I5" s="4">
        <f>(C5+G5)/2*H5</f>
        <v/>
      </c>
      <c r="J5" s="4">
        <f>I5*Inputs!$B$8</f>
        <v/>
      </c>
      <c r="K5" s="4">
        <f>I5-J5</f>
        <v/>
      </c>
      <c r="L5" s="3">
        <f>MAX(0,MIN(1,Inputs!$B$9+Inputs!$B$15))</f>
        <v/>
      </c>
      <c r="M5" s="4">
        <f>K5*L5</f>
        <v/>
      </c>
      <c r="N5" s="4">
        <f>K5*Inputs!$B$10</f>
        <v/>
      </c>
      <c r="O5" s="4">
        <f>M5-N5</f>
        <v/>
      </c>
      <c r="P5" s="4">
        <f>Inputs!$B$11</f>
        <v/>
      </c>
      <c r="Q5" s="4">
        <f>Inputs!$B$12</f>
        <v/>
      </c>
      <c r="R5" s="4">
        <f>O5-P5-Q5</f>
        <v/>
      </c>
      <c r="S5" s="4">
        <f>K5*Inputs!$B$13*(Inputs!$B$14-Inputs!$B$10)</f>
        <v/>
      </c>
      <c r="T5" s="4">
        <f>O5-S5</f>
        <v/>
      </c>
      <c r="U5" s="3">
        <f>IF(Q5=0,"",(T5-Q5)/Q5)</f>
        <v/>
      </c>
      <c r="V5" s="3">
        <f>L5-L4</f>
        <v/>
      </c>
      <c r="W5">
        <f>IF(Inputs!$B$21&lt;&gt;1,"DATA BLOCKED",IF(C5&lt;Inputs!$B$22,"INSUFFICIENT COHORT",IF(OR(D5&gt;Inputs!$B$19,V5&lt;-Inputs!$B$20),"REVIEW","OK")))</f>
        <v/>
      </c>
    </row>
    <row r="6">
      <c r="A6" t="n">
        <v>5</v>
      </c>
      <c r="B6" s="2">
        <f>EDATE(Inputs!$B$2,A6-1)</f>
        <v/>
      </c>
      <c r="C6" s="4">
        <f>G5</f>
        <v/>
      </c>
      <c r="D6" s="3">
        <f>MAX(0,MIN(1,Inputs!$B$5+Inputs!$B$16))</f>
        <v/>
      </c>
      <c r="E6" s="4">
        <f>C6*D6</f>
        <v/>
      </c>
      <c r="F6" s="4">
        <f>Inputs!$B$4</f>
        <v/>
      </c>
      <c r="G6" s="4">
        <f>C6-E6+F6</f>
        <v/>
      </c>
      <c r="H6" s="4">
        <f>Inputs!$B$6*(1+Inputs!$B$7)^(A6-1)</f>
        <v/>
      </c>
      <c r="I6" s="4">
        <f>(C6+G6)/2*H6</f>
        <v/>
      </c>
      <c r="J6" s="4">
        <f>I6*Inputs!$B$8</f>
        <v/>
      </c>
      <c r="K6" s="4">
        <f>I6-J6</f>
        <v/>
      </c>
      <c r="L6" s="3">
        <f>MAX(0,MIN(1,Inputs!$B$9+Inputs!$B$15))</f>
        <v/>
      </c>
      <c r="M6" s="4">
        <f>K6*L6</f>
        <v/>
      </c>
      <c r="N6" s="4">
        <f>K6*Inputs!$B$10</f>
        <v/>
      </c>
      <c r="O6" s="4">
        <f>M6-N6</f>
        <v/>
      </c>
      <c r="P6" s="4">
        <f>Inputs!$B$11</f>
        <v/>
      </c>
      <c r="Q6" s="4">
        <f>Inputs!$B$12</f>
        <v/>
      </c>
      <c r="R6" s="4">
        <f>O6-P6-Q6</f>
        <v/>
      </c>
      <c r="S6" s="4">
        <f>K6*Inputs!$B$13*(Inputs!$B$14-Inputs!$B$10)</f>
        <v/>
      </c>
      <c r="T6" s="4">
        <f>O6-S6</f>
        <v/>
      </c>
      <c r="U6" s="3">
        <f>IF(Q6=0,"",(T6-Q6)/Q6)</f>
        <v/>
      </c>
      <c r="V6" s="3">
        <f>L6-L5</f>
        <v/>
      </c>
      <c r="W6">
        <f>IF(Inputs!$B$21&lt;&gt;1,"DATA BLOCKED",IF(C6&lt;Inputs!$B$22,"INSUFFICIENT COHORT",IF(OR(D6&gt;Inputs!$B$19,V6&lt;-Inputs!$B$20),"REVIEW","OK")))</f>
        <v/>
      </c>
    </row>
    <row r="7">
      <c r="A7" t="n">
        <v>6</v>
      </c>
      <c r="B7" s="2">
        <f>EDATE(Inputs!$B$2,A7-1)</f>
        <v/>
      </c>
      <c r="C7" s="4">
        <f>G6</f>
        <v/>
      </c>
      <c r="D7" s="3">
        <f>MAX(0,MIN(1,Inputs!$B$5+Inputs!$B$16))</f>
        <v/>
      </c>
      <c r="E7" s="4">
        <f>C7*D7</f>
        <v/>
      </c>
      <c r="F7" s="4">
        <f>Inputs!$B$4</f>
        <v/>
      </c>
      <c r="G7" s="4">
        <f>C7-E7+F7</f>
        <v/>
      </c>
      <c r="H7" s="4">
        <f>Inputs!$B$6*(1+Inputs!$B$7)^(A7-1)</f>
        <v/>
      </c>
      <c r="I7" s="4">
        <f>(C7+G7)/2*H7</f>
        <v/>
      </c>
      <c r="J7" s="4">
        <f>I7*Inputs!$B$8</f>
        <v/>
      </c>
      <c r="K7" s="4">
        <f>I7-J7</f>
        <v/>
      </c>
      <c r="L7" s="3">
        <f>MAX(0,MIN(1,Inputs!$B$9+Inputs!$B$15))</f>
        <v/>
      </c>
      <c r="M7" s="4">
        <f>K7*L7</f>
        <v/>
      </c>
      <c r="N7" s="4">
        <f>K7*Inputs!$B$10</f>
        <v/>
      </c>
      <c r="O7" s="4">
        <f>M7-N7</f>
        <v/>
      </c>
      <c r="P7" s="4">
        <f>Inputs!$B$11</f>
        <v/>
      </c>
      <c r="Q7" s="4">
        <f>Inputs!$B$12</f>
        <v/>
      </c>
      <c r="R7" s="4">
        <f>O7-P7-Q7</f>
        <v/>
      </c>
      <c r="S7" s="4">
        <f>K7*Inputs!$B$13*(Inputs!$B$14-Inputs!$B$10)</f>
        <v/>
      </c>
      <c r="T7" s="4">
        <f>O7-S7</f>
        <v/>
      </c>
      <c r="U7" s="3">
        <f>IF(Q7=0,"",(T7-Q7)/Q7)</f>
        <v/>
      </c>
      <c r="V7" s="3">
        <f>L7-L6</f>
        <v/>
      </c>
      <c r="W7">
        <f>IF(Inputs!$B$21&lt;&gt;1,"DATA BLOCKED",IF(C7&lt;Inputs!$B$22,"INSUFFICIENT COHORT",IF(OR(D7&gt;Inputs!$B$19,V7&lt;-Inputs!$B$20),"REVIEW","OK")))</f>
        <v/>
      </c>
    </row>
    <row r="8">
      <c r="A8" t="n">
        <v>7</v>
      </c>
      <c r="B8" s="2">
        <f>EDATE(Inputs!$B$2,A8-1)</f>
        <v/>
      </c>
      <c r="C8" s="4">
        <f>G7</f>
        <v/>
      </c>
      <c r="D8" s="3">
        <f>MAX(0,MIN(1,Inputs!$B$5+Inputs!$B$16))</f>
        <v/>
      </c>
      <c r="E8" s="4">
        <f>C8*D8</f>
        <v/>
      </c>
      <c r="F8" s="4">
        <f>Inputs!$B$4</f>
        <v/>
      </c>
      <c r="G8" s="4">
        <f>C8-E8+F8</f>
        <v/>
      </c>
      <c r="H8" s="4">
        <f>Inputs!$B$6*(1+Inputs!$B$7)^(A8-1)</f>
        <v/>
      </c>
      <c r="I8" s="4">
        <f>(C8+G8)/2*H8</f>
        <v/>
      </c>
      <c r="J8" s="4">
        <f>I8*Inputs!$B$8</f>
        <v/>
      </c>
      <c r="K8" s="4">
        <f>I8-J8</f>
        <v/>
      </c>
      <c r="L8" s="3">
        <f>MAX(0,MIN(1,Inputs!$B$9+Inputs!$B$15))</f>
        <v/>
      </c>
      <c r="M8" s="4">
        <f>K8*L8</f>
        <v/>
      </c>
      <c r="N8" s="4">
        <f>K8*Inputs!$B$10</f>
        <v/>
      </c>
      <c r="O8" s="4">
        <f>M8-N8</f>
        <v/>
      </c>
      <c r="P8" s="4">
        <f>Inputs!$B$11</f>
        <v/>
      </c>
      <c r="Q8" s="4">
        <f>Inputs!$B$12</f>
        <v/>
      </c>
      <c r="R8" s="4">
        <f>O8-P8-Q8</f>
        <v/>
      </c>
      <c r="S8" s="4">
        <f>K8*Inputs!$B$13*(Inputs!$B$14-Inputs!$B$10)</f>
        <v/>
      </c>
      <c r="T8" s="4">
        <f>O8-S8</f>
        <v/>
      </c>
      <c r="U8" s="3">
        <f>IF(Q8=0,"",(T8-Q8)/Q8)</f>
        <v/>
      </c>
      <c r="V8" s="3">
        <f>L8-L7</f>
        <v/>
      </c>
      <c r="W8">
        <f>IF(Inputs!$B$21&lt;&gt;1,"DATA BLOCKED",IF(C8&lt;Inputs!$B$22,"INSUFFICIENT COHORT",IF(OR(D8&gt;Inputs!$B$19,V8&lt;-Inputs!$B$20),"REVIEW","OK")))</f>
        <v/>
      </c>
    </row>
    <row r="9">
      <c r="A9" t="n">
        <v>8</v>
      </c>
      <c r="B9" s="2">
        <f>EDATE(Inputs!$B$2,A9-1)</f>
        <v/>
      </c>
      <c r="C9" s="4">
        <f>G8</f>
        <v/>
      </c>
      <c r="D9" s="3">
        <f>MAX(0,MIN(1,Inputs!$B$5+Inputs!$B$16))</f>
        <v/>
      </c>
      <c r="E9" s="4">
        <f>C9*D9</f>
        <v/>
      </c>
      <c r="F9" s="4">
        <f>Inputs!$B$4</f>
        <v/>
      </c>
      <c r="G9" s="4">
        <f>C9-E9+F9</f>
        <v/>
      </c>
      <c r="H9" s="4">
        <f>Inputs!$B$6*(1+Inputs!$B$7)^(A9-1)</f>
        <v/>
      </c>
      <c r="I9" s="4">
        <f>(C9+G9)/2*H9</f>
        <v/>
      </c>
      <c r="J9" s="4">
        <f>I9*Inputs!$B$8</f>
        <v/>
      </c>
      <c r="K9" s="4">
        <f>I9-J9</f>
        <v/>
      </c>
      <c r="L9" s="3">
        <f>MAX(0,MIN(1,Inputs!$B$9+Inputs!$B$15))</f>
        <v/>
      </c>
      <c r="M9" s="4">
        <f>K9*L9</f>
        <v/>
      </c>
      <c r="N9" s="4">
        <f>K9*Inputs!$B$10</f>
        <v/>
      </c>
      <c r="O9" s="4">
        <f>M9-N9</f>
        <v/>
      </c>
      <c r="P9" s="4">
        <f>Inputs!$B$11</f>
        <v/>
      </c>
      <c r="Q9" s="4">
        <f>Inputs!$B$12</f>
        <v/>
      </c>
      <c r="R9" s="4">
        <f>O9-P9-Q9</f>
        <v/>
      </c>
      <c r="S9" s="4">
        <f>K9*Inputs!$B$13*(Inputs!$B$14-Inputs!$B$10)</f>
        <v/>
      </c>
      <c r="T9" s="4">
        <f>O9-S9</f>
        <v/>
      </c>
      <c r="U9" s="3">
        <f>IF(Q9=0,"",(T9-Q9)/Q9)</f>
        <v/>
      </c>
      <c r="V9" s="3">
        <f>L9-L8</f>
        <v/>
      </c>
      <c r="W9">
        <f>IF(Inputs!$B$21&lt;&gt;1,"DATA BLOCKED",IF(C9&lt;Inputs!$B$22,"INSUFFICIENT COHORT",IF(OR(D9&gt;Inputs!$B$19,V9&lt;-Inputs!$B$20),"REVIEW","OK")))</f>
        <v/>
      </c>
    </row>
    <row r="10">
      <c r="A10" t="n">
        <v>9</v>
      </c>
      <c r="B10" s="2">
        <f>EDATE(Inputs!$B$2,A10-1)</f>
        <v/>
      </c>
      <c r="C10" s="4">
        <f>G9</f>
        <v/>
      </c>
      <c r="D10" s="3">
        <f>MAX(0,MIN(1,Inputs!$B$5+Inputs!$B$16))</f>
        <v/>
      </c>
      <c r="E10" s="4">
        <f>C10*D10</f>
        <v/>
      </c>
      <c r="F10" s="4">
        <f>Inputs!$B$4</f>
        <v/>
      </c>
      <c r="G10" s="4">
        <f>C10-E10+F10</f>
        <v/>
      </c>
      <c r="H10" s="4">
        <f>Inputs!$B$6*(1+Inputs!$B$7)^(A10-1)</f>
        <v/>
      </c>
      <c r="I10" s="4">
        <f>(C10+G10)/2*H10</f>
        <v/>
      </c>
      <c r="J10" s="4">
        <f>I10*Inputs!$B$8</f>
        <v/>
      </c>
      <c r="K10" s="4">
        <f>I10-J10</f>
        <v/>
      </c>
      <c r="L10" s="3">
        <f>MAX(0,MIN(1,Inputs!$B$9+Inputs!$B$15))</f>
        <v/>
      </c>
      <c r="M10" s="4">
        <f>K10*L10</f>
        <v/>
      </c>
      <c r="N10" s="4">
        <f>K10*Inputs!$B$10</f>
        <v/>
      </c>
      <c r="O10" s="4">
        <f>M10-N10</f>
        <v/>
      </c>
      <c r="P10" s="4">
        <f>Inputs!$B$11</f>
        <v/>
      </c>
      <c r="Q10" s="4">
        <f>Inputs!$B$12</f>
        <v/>
      </c>
      <c r="R10" s="4">
        <f>O10-P10-Q10</f>
        <v/>
      </c>
      <c r="S10" s="4">
        <f>K10*Inputs!$B$13*(Inputs!$B$14-Inputs!$B$10)</f>
        <v/>
      </c>
      <c r="T10" s="4">
        <f>O10-S10</f>
        <v/>
      </c>
      <c r="U10" s="3">
        <f>IF(Q10=0,"",(T10-Q10)/Q10)</f>
        <v/>
      </c>
      <c r="V10" s="3">
        <f>L10-L9</f>
        <v/>
      </c>
      <c r="W10">
        <f>IF(Inputs!$B$21&lt;&gt;1,"DATA BLOCKED",IF(C10&lt;Inputs!$B$22,"INSUFFICIENT COHORT",IF(OR(D10&gt;Inputs!$B$19,V10&lt;-Inputs!$B$20),"REVIEW","OK")))</f>
        <v/>
      </c>
    </row>
    <row r="11">
      <c r="A11" t="n">
        <v>10</v>
      </c>
      <c r="B11" s="2">
        <f>EDATE(Inputs!$B$2,A11-1)</f>
        <v/>
      </c>
      <c r="C11" s="4">
        <f>G10</f>
        <v/>
      </c>
      <c r="D11" s="3">
        <f>MAX(0,MIN(1,Inputs!$B$5+Inputs!$B$16))</f>
        <v/>
      </c>
      <c r="E11" s="4">
        <f>C11*D11</f>
        <v/>
      </c>
      <c r="F11" s="4">
        <f>Inputs!$B$4</f>
        <v/>
      </c>
      <c r="G11" s="4">
        <f>C11-E11+F11</f>
        <v/>
      </c>
      <c r="H11" s="4">
        <f>Inputs!$B$6*(1+Inputs!$B$7)^(A11-1)</f>
        <v/>
      </c>
      <c r="I11" s="4">
        <f>(C11+G11)/2*H11</f>
        <v/>
      </c>
      <c r="J11" s="4">
        <f>I11*Inputs!$B$8</f>
        <v/>
      </c>
      <c r="K11" s="4">
        <f>I11-J11</f>
        <v/>
      </c>
      <c r="L11" s="3">
        <f>MAX(0,MIN(1,Inputs!$B$9+Inputs!$B$15))</f>
        <v/>
      </c>
      <c r="M11" s="4">
        <f>K11*L11</f>
        <v/>
      </c>
      <c r="N11" s="4">
        <f>K11*Inputs!$B$10</f>
        <v/>
      </c>
      <c r="O11" s="4">
        <f>M11-N11</f>
        <v/>
      </c>
      <c r="P11" s="4">
        <f>Inputs!$B$11</f>
        <v/>
      </c>
      <c r="Q11" s="4">
        <f>Inputs!$B$12</f>
        <v/>
      </c>
      <c r="R11" s="4">
        <f>O11-P11-Q11</f>
        <v/>
      </c>
      <c r="S11" s="4">
        <f>K11*Inputs!$B$13*(Inputs!$B$14-Inputs!$B$10)</f>
        <v/>
      </c>
      <c r="T11" s="4">
        <f>O11-S11</f>
        <v/>
      </c>
      <c r="U11" s="3">
        <f>IF(Q11=0,"",(T11-Q11)/Q11)</f>
        <v/>
      </c>
      <c r="V11" s="3">
        <f>L11-L10</f>
        <v/>
      </c>
      <c r="W11">
        <f>IF(Inputs!$B$21&lt;&gt;1,"DATA BLOCKED",IF(C11&lt;Inputs!$B$22,"INSUFFICIENT COHORT",IF(OR(D11&gt;Inputs!$B$19,V11&lt;-Inputs!$B$20),"REVIEW","OK")))</f>
        <v/>
      </c>
    </row>
    <row r="12">
      <c r="A12" t="n">
        <v>11</v>
      </c>
      <c r="B12" s="2">
        <f>EDATE(Inputs!$B$2,A12-1)</f>
        <v/>
      </c>
      <c r="C12" s="4">
        <f>G11</f>
        <v/>
      </c>
      <c r="D12" s="3">
        <f>MAX(0,MIN(1,Inputs!$B$5+Inputs!$B$16))</f>
        <v/>
      </c>
      <c r="E12" s="4">
        <f>C12*D12</f>
        <v/>
      </c>
      <c r="F12" s="4">
        <f>Inputs!$B$4</f>
        <v/>
      </c>
      <c r="G12" s="4">
        <f>C12-E12+F12</f>
        <v/>
      </c>
      <c r="H12" s="4">
        <f>Inputs!$B$6*(1+Inputs!$B$7)^(A12-1)</f>
        <v/>
      </c>
      <c r="I12" s="4">
        <f>(C12+G12)/2*H12</f>
        <v/>
      </c>
      <c r="J12" s="4">
        <f>I12*Inputs!$B$8</f>
        <v/>
      </c>
      <c r="K12" s="4">
        <f>I12-J12</f>
        <v/>
      </c>
      <c r="L12" s="3">
        <f>MAX(0,MIN(1,Inputs!$B$9+Inputs!$B$15))</f>
        <v/>
      </c>
      <c r="M12" s="4">
        <f>K12*L12</f>
        <v/>
      </c>
      <c r="N12" s="4">
        <f>K12*Inputs!$B$10</f>
        <v/>
      </c>
      <c r="O12" s="4">
        <f>M12-N12</f>
        <v/>
      </c>
      <c r="P12" s="4">
        <f>Inputs!$B$11</f>
        <v/>
      </c>
      <c r="Q12" s="4">
        <f>Inputs!$B$12</f>
        <v/>
      </c>
      <c r="R12" s="4">
        <f>O12-P12-Q12</f>
        <v/>
      </c>
      <c r="S12" s="4">
        <f>K12*Inputs!$B$13*(Inputs!$B$14-Inputs!$B$10)</f>
        <v/>
      </c>
      <c r="T12" s="4">
        <f>O12-S12</f>
        <v/>
      </c>
      <c r="U12" s="3">
        <f>IF(Q12=0,"",(T12-Q12)/Q12)</f>
        <v/>
      </c>
      <c r="V12" s="3">
        <f>L12-L11</f>
        <v/>
      </c>
      <c r="W12">
        <f>IF(Inputs!$B$21&lt;&gt;1,"DATA BLOCKED",IF(C12&lt;Inputs!$B$22,"INSUFFICIENT COHORT",IF(OR(D12&gt;Inputs!$B$19,V12&lt;-Inputs!$B$20),"REVIEW","OK")))</f>
        <v/>
      </c>
    </row>
    <row r="13">
      <c r="A13" t="n">
        <v>12</v>
      </c>
      <c r="B13" s="2">
        <f>EDATE(Inputs!$B$2,A13-1)</f>
        <v/>
      </c>
      <c r="C13" s="4">
        <f>G12</f>
        <v/>
      </c>
      <c r="D13" s="3">
        <f>MAX(0,MIN(1,Inputs!$B$5+Inputs!$B$16))</f>
        <v/>
      </c>
      <c r="E13" s="4">
        <f>C13*D13</f>
        <v/>
      </c>
      <c r="F13" s="4">
        <f>Inputs!$B$4</f>
        <v/>
      </c>
      <c r="G13" s="4">
        <f>C13-E13+F13</f>
        <v/>
      </c>
      <c r="H13" s="4">
        <f>Inputs!$B$6*(1+Inputs!$B$7)^(A13-1)</f>
        <v/>
      </c>
      <c r="I13" s="4">
        <f>(C13+G13)/2*H13</f>
        <v/>
      </c>
      <c r="J13" s="4">
        <f>I13*Inputs!$B$8</f>
        <v/>
      </c>
      <c r="K13" s="4">
        <f>I13-J13</f>
        <v/>
      </c>
      <c r="L13" s="3">
        <f>MAX(0,MIN(1,Inputs!$B$9+Inputs!$B$15))</f>
        <v/>
      </c>
      <c r="M13" s="4">
        <f>K13*L13</f>
        <v/>
      </c>
      <c r="N13" s="4">
        <f>K13*Inputs!$B$10</f>
        <v/>
      </c>
      <c r="O13" s="4">
        <f>M13-N13</f>
        <v/>
      </c>
      <c r="P13" s="4">
        <f>Inputs!$B$11</f>
        <v/>
      </c>
      <c r="Q13" s="4">
        <f>Inputs!$B$12</f>
        <v/>
      </c>
      <c r="R13" s="4">
        <f>O13-P13-Q13</f>
        <v/>
      </c>
      <c r="S13" s="4">
        <f>K13*Inputs!$B$13*(Inputs!$B$14-Inputs!$B$10)</f>
        <v/>
      </c>
      <c r="T13" s="4">
        <f>O13-S13</f>
        <v/>
      </c>
      <c r="U13" s="3">
        <f>IF(Q13=0,"",(T13-Q13)/Q13)</f>
        <v/>
      </c>
      <c r="V13" s="3">
        <f>L13-L12</f>
        <v/>
      </c>
      <c r="W13">
        <f>IF(Inputs!$B$21&lt;&gt;1,"DATA BLOCKED",IF(C13&lt;Inputs!$B$22,"INSUFFICIENT COHORT",IF(OR(D13&gt;Inputs!$B$19,V13&lt;-Inputs!$B$20),"REVIEW","OK")))</f>
        <v/>
      </c>
    </row>
    <row r="14">
      <c r="A14" t="n">
        <v>13</v>
      </c>
      <c r="B14" s="2">
        <f>EDATE(Inputs!$B$2,A14-1)</f>
        <v/>
      </c>
      <c r="C14" s="4">
        <f>G13</f>
        <v/>
      </c>
      <c r="D14" s="3">
        <f>MAX(0,MIN(1,Inputs!$B$5+Inputs!$B$16))</f>
        <v/>
      </c>
      <c r="E14" s="4">
        <f>C14*D14</f>
        <v/>
      </c>
      <c r="F14" s="4">
        <f>Inputs!$B$4</f>
        <v/>
      </c>
      <c r="G14" s="4">
        <f>C14-E14+F14</f>
        <v/>
      </c>
      <c r="H14" s="4">
        <f>Inputs!$B$6*(1+Inputs!$B$7)^(A14-1)</f>
        <v/>
      </c>
      <c r="I14" s="4">
        <f>(C14+G14)/2*H14</f>
        <v/>
      </c>
      <c r="J14" s="4">
        <f>I14*Inputs!$B$8</f>
        <v/>
      </c>
      <c r="K14" s="4">
        <f>I14-J14</f>
        <v/>
      </c>
      <c r="L14" s="3">
        <f>MAX(0,MIN(1,Inputs!$B$9+Inputs!$B$15))</f>
        <v/>
      </c>
      <c r="M14" s="4">
        <f>K14*L14</f>
        <v/>
      </c>
      <c r="N14" s="4">
        <f>K14*Inputs!$B$10</f>
        <v/>
      </c>
      <c r="O14" s="4">
        <f>M14-N14</f>
        <v/>
      </c>
      <c r="P14" s="4">
        <f>Inputs!$B$11</f>
        <v/>
      </c>
      <c r="Q14" s="4">
        <f>Inputs!$B$12</f>
        <v/>
      </c>
      <c r="R14" s="4">
        <f>O14-P14-Q14</f>
        <v/>
      </c>
      <c r="S14" s="4">
        <f>K14*Inputs!$B$13*(Inputs!$B$14-Inputs!$B$10)</f>
        <v/>
      </c>
      <c r="T14" s="4">
        <f>O14-S14</f>
        <v/>
      </c>
      <c r="U14" s="3">
        <f>IF(Q14=0,"",(T14-Q14)/Q14)</f>
        <v/>
      </c>
      <c r="V14" s="3">
        <f>L14-L13</f>
        <v/>
      </c>
      <c r="W14">
        <f>IF(Inputs!$B$21&lt;&gt;1,"DATA BLOCKED",IF(C14&lt;Inputs!$B$22,"INSUFFICIENT COHORT",IF(OR(D14&gt;Inputs!$B$19,V14&lt;-Inputs!$B$20),"REVIEW","OK")))</f>
        <v/>
      </c>
    </row>
    <row r="15">
      <c r="A15" t="n">
        <v>14</v>
      </c>
      <c r="B15" s="2">
        <f>EDATE(Inputs!$B$2,A15-1)</f>
        <v/>
      </c>
      <c r="C15" s="4">
        <f>G14</f>
        <v/>
      </c>
      <c r="D15" s="3">
        <f>MAX(0,MIN(1,Inputs!$B$5+Inputs!$B$16))</f>
        <v/>
      </c>
      <c r="E15" s="4">
        <f>C15*D15</f>
        <v/>
      </c>
      <c r="F15" s="4">
        <f>Inputs!$B$4</f>
        <v/>
      </c>
      <c r="G15" s="4">
        <f>C15-E15+F15</f>
        <v/>
      </c>
      <c r="H15" s="4">
        <f>Inputs!$B$6*(1+Inputs!$B$7)^(A15-1)</f>
        <v/>
      </c>
      <c r="I15" s="4">
        <f>(C15+G15)/2*H15</f>
        <v/>
      </c>
      <c r="J15" s="4">
        <f>I15*Inputs!$B$8</f>
        <v/>
      </c>
      <c r="K15" s="4">
        <f>I15-J15</f>
        <v/>
      </c>
      <c r="L15" s="3">
        <f>MAX(0,MIN(1,Inputs!$B$9+Inputs!$B$15))</f>
        <v/>
      </c>
      <c r="M15" s="4">
        <f>K15*L15</f>
        <v/>
      </c>
      <c r="N15" s="4">
        <f>K15*Inputs!$B$10</f>
        <v/>
      </c>
      <c r="O15" s="4">
        <f>M15-N15</f>
        <v/>
      </c>
      <c r="P15" s="4">
        <f>Inputs!$B$11</f>
        <v/>
      </c>
      <c r="Q15" s="4">
        <f>Inputs!$B$12</f>
        <v/>
      </c>
      <c r="R15" s="4">
        <f>O15-P15-Q15</f>
        <v/>
      </c>
      <c r="S15" s="4">
        <f>K15*Inputs!$B$13*(Inputs!$B$14-Inputs!$B$10)</f>
        <v/>
      </c>
      <c r="T15" s="4">
        <f>O15-S15</f>
        <v/>
      </c>
      <c r="U15" s="3">
        <f>IF(Q15=0,"",(T15-Q15)/Q15)</f>
        <v/>
      </c>
      <c r="V15" s="3">
        <f>L15-L14</f>
        <v/>
      </c>
      <c r="W15">
        <f>IF(Inputs!$B$21&lt;&gt;1,"DATA BLOCKED",IF(C15&lt;Inputs!$B$22,"INSUFFICIENT COHORT",IF(OR(D15&gt;Inputs!$B$19,V15&lt;-Inputs!$B$20),"REVIEW","OK")))</f>
        <v/>
      </c>
    </row>
    <row r="16">
      <c r="A16" t="n">
        <v>15</v>
      </c>
      <c r="B16" s="2">
        <f>EDATE(Inputs!$B$2,A16-1)</f>
        <v/>
      </c>
      <c r="C16" s="4">
        <f>G15</f>
        <v/>
      </c>
      <c r="D16" s="3">
        <f>MAX(0,MIN(1,Inputs!$B$5+Inputs!$B$16))</f>
        <v/>
      </c>
      <c r="E16" s="4">
        <f>C16*D16</f>
        <v/>
      </c>
      <c r="F16" s="4">
        <f>Inputs!$B$4</f>
        <v/>
      </c>
      <c r="G16" s="4">
        <f>C16-E16+F16</f>
        <v/>
      </c>
      <c r="H16" s="4">
        <f>Inputs!$B$6*(1+Inputs!$B$7)^(A16-1)</f>
        <v/>
      </c>
      <c r="I16" s="4">
        <f>(C16+G16)/2*H16</f>
        <v/>
      </c>
      <c r="J16" s="4">
        <f>I16*Inputs!$B$8</f>
        <v/>
      </c>
      <c r="K16" s="4">
        <f>I16-J16</f>
        <v/>
      </c>
      <c r="L16" s="3">
        <f>MAX(0,MIN(1,Inputs!$B$9+Inputs!$B$15))</f>
        <v/>
      </c>
      <c r="M16" s="4">
        <f>K16*L16</f>
        <v/>
      </c>
      <c r="N16" s="4">
        <f>K16*Inputs!$B$10</f>
        <v/>
      </c>
      <c r="O16" s="4">
        <f>M16-N16</f>
        <v/>
      </c>
      <c r="P16" s="4">
        <f>Inputs!$B$11</f>
        <v/>
      </c>
      <c r="Q16" s="4">
        <f>Inputs!$B$12</f>
        <v/>
      </c>
      <c r="R16" s="4">
        <f>O16-P16-Q16</f>
        <v/>
      </c>
      <c r="S16" s="4">
        <f>K16*Inputs!$B$13*(Inputs!$B$14-Inputs!$B$10)</f>
        <v/>
      </c>
      <c r="T16" s="4">
        <f>O16-S16</f>
        <v/>
      </c>
      <c r="U16" s="3">
        <f>IF(Q16=0,"",(T16-Q16)/Q16)</f>
        <v/>
      </c>
      <c r="V16" s="3">
        <f>L16-L15</f>
        <v/>
      </c>
      <c r="W16">
        <f>IF(Inputs!$B$21&lt;&gt;1,"DATA BLOCKED",IF(C16&lt;Inputs!$B$22,"INSUFFICIENT COHORT",IF(OR(D16&gt;Inputs!$B$19,V16&lt;-Inputs!$B$20),"REVIEW","OK")))</f>
        <v/>
      </c>
    </row>
    <row r="17">
      <c r="A17" t="n">
        <v>16</v>
      </c>
      <c r="B17" s="2">
        <f>EDATE(Inputs!$B$2,A17-1)</f>
        <v/>
      </c>
      <c r="C17" s="4">
        <f>G16</f>
        <v/>
      </c>
      <c r="D17" s="3">
        <f>MAX(0,MIN(1,Inputs!$B$5+Inputs!$B$16))</f>
        <v/>
      </c>
      <c r="E17" s="4">
        <f>C17*D17</f>
        <v/>
      </c>
      <c r="F17" s="4">
        <f>Inputs!$B$4</f>
        <v/>
      </c>
      <c r="G17" s="4">
        <f>C17-E17+F17</f>
        <v/>
      </c>
      <c r="H17" s="4">
        <f>Inputs!$B$6*(1+Inputs!$B$7)^(A17-1)</f>
        <v/>
      </c>
      <c r="I17" s="4">
        <f>(C17+G17)/2*H17</f>
        <v/>
      </c>
      <c r="J17" s="4">
        <f>I17*Inputs!$B$8</f>
        <v/>
      </c>
      <c r="K17" s="4">
        <f>I17-J17</f>
        <v/>
      </c>
      <c r="L17" s="3">
        <f>MAX(0,MIN(1,Inputs!$B$9+Inputs!$B$15))</f>
        <v/>
      </c>
      <c r="M17" s="4">
        <f>K17*L17</f>
        <v/>
      </c>
      <c r="N17" s="4">
        <f>K17*Inputs!$B$10</f>
        <v/>
      </c>
      <c r="O17" s="4">
        <f>M17-N17</f>
        <v/>
      </c>
      <c r="P17" s="4">
        <f>Inputs!$B$11</f>
        <v/>
      </c>
      <c r="Q17" s="4">
        <f>Inputs!$B$12</f>
        <v/>
      </c>
      <c r="R17" s="4">
        <f>O17-P17-Q17</f>
        <v/>
      </c>
      <c r="S17" s="4">
        <f>K17*Inputs!$B$13*(Inputs!$B$14-Inputs!$B$10)</f>
        <v/>
      </c>
      <c r="T17" s="4">
        <f>O17-S17</f>
        <v/>
      </c>
      <c r="U17" s="3">
        <f>IF(Q17=0,"",(T17-Q17)/Q17)</f>
        <v/>
      </c>
      <c r="V17" s="3">
        <f>L17-L16</f>
        <v/>
      </c>
      <c r="W17">
        <f>IF(Inputs!$B$21&lt;&gt;1,"DATA BLOCKED",IF(C17&lt;Inputs!$B$22,"INSUFFICIENT COHORT",IF(OR(D17&gt;Inputs!$B$19,V17&lt;-Inputs!$B$20),"REVIEW","OK")))</f>
        <v/>
      </c>
    </row>
    <row r="18">
      <c r="A18" t="n">
        <v>17</v>
      </c>
      <c r="B18" s="2">
        <f>EDATE(Inputs!$B$2,A18-1)</f>
        <v/>
      </c>
      <c r="C18" s="4">
        <f>G17</f>
        <v/>
      </c>
      <c r="D18" s="3">
        <f>MAX(0,MIN(1,Inputs!$B$5+Inputs!$B$16))</f>
        <v/>
      </c>
      <c r="E18" s="4">
        <f>C18*D18</f>
        <v/>
      </c>
      <c r="F18" s="4">
        <f>Inputs!$B$4</f>
        <v/>
      </c>
      <c r="G18" s="4">
        <f>C18-E18+F18</f>
        <v/>
      </c>
      <c r="H18" s="4">
        <f>Inputs!$B$6*(1+Inputs!$B$7)^(A18-1)</f>
        <v/>
      </c>
      <c r="I18" s="4">
        <f>(C18+G18)/2*H18</f>
        <v/>
      </c>
      <c r="J18" s="4">
        <f>I18*Inputs!$B$8</f>
        <v/>
      </c>
      <c r="K18" s="4">
        <f>I18-J18</f>
        <v/>
      </c>
      <c r="L18" s="3">
        <f>MAX(0,MIN(1,Inputs!$B$9+Inputs!$B$15))</f>
        <v/>
      </c>
      <c r="M18" s="4">
        <f>K18*L18</f>
        <v/>
      </c>
      <c r="N18" s="4">
        <f>K18*Inputs!$B$10</f>
        <v/>
      </c>
      <c r="O18" s="4">
        <f>M18-N18</f>
        <v/>
      </c>
      <c r="P18" s="4">
        <f>Inputs!$B$11</f>
        <v/>
      </c>
      <c r="Q18" s="4">
        <f>Inputs!$B$12</f>
        <v/>
      </c>
      <c r="R18" s="4">
        <f>O18-P18-Q18</f>
        <v/>
      </c>
      <c r="S18" s="4">
        <f>K18*Inputs!$B$13*(Inputs!$B$14-Inputs!$B$10)</f>
        <v/>
      </c>
      <c r="T18" s="4">
        <f>O18-S18</f>
        <v/>
      </c>
      <c r="U18" s="3">
        <f>IF(Q18=0,"",(T18-Q18)/Q18)</f>
        <v/>
      </c>
      <c r="V18" s="3">
        <f>L18-L17</f>
        <v/>
      </c>
      <c r="W18">
        <f>IF(Inputs!$B$21&lt;&gt;1,"DATA BLOCKED",IF(C18&lt;Inputs!$B$22,"INSUFFICIENT COHORT",IF(OR(D18&gt;Inputs!$B$19,V18&lt;-Inputs!$B$20),"REVIEW","OK")))</f>
        <v/>
      </c>
    </row>
    <row r="19">
      <c r="A19" t="n">
        <v>18</v>
      </c>
      <c r="B19" s="2">
        <f>EDATE(Inputs!$B$2,A19-1)</f>
        <v/>
      </c>
      <c r="C19" s="4">
        <f>G18</f>
        <v/>
      </c>
      <c r="D19" s="3">
        <f>MAX(0,MIN(1,Inputs!$B$5+Inputs!$B$16))</f>
        <v/>
      </c>
      <c r="E19" s="4">
        <f>C19*D19</f>
        <v/>
      </c>
      <c r="F19" s="4">
        <f>Inputs!$B$4</f>
        <v/>
      </c>
      <c r="G19" s="4">
        <f>C19-E19+F19</f>
        <v/>
      </c>
      <c r="H19" s="4">
        <f>Inputs!$B$6*(1+Inputs!$B$7)^(A19-1)</f>
        <v/>
      </c>
      <c r="I19" s="4">
        <f>(C19+G19)/2*H19</f>
        <v/>
      </c>
      <c r="J19" s="4">
        <f>I19*Inputs!$B$8</f>
        <v/>
      </c>
      <c r="K19" s="4">
        <f>I19-J19</f>
        <v/>
      </c>
      <c r="L19" s="3">
        <f>MAX(0,MIN(1,Inputs!$B$9+Inputs!$B$15))</f>
        <v/>
      </c>
      <c r="M19" s="4">
        <f>K19*L19</f>
        <v/>
      </c>
      <c r="N19" s="4">
        <f>K19*Inputs!$B$10</f>
        <v/>
      </c>
      <c r="O19" s="4">
        <f>M19-N19</f>
        <v/>
      </c>
      <c r="P19" s="4">
        <f>Inputs!$B$11</f>
        <v/>
      </c>
      <c r="Q19" s="4">
        <f>Inputs!$B$12</f>
        <v/>
      </c>
      <c r="R19" s="4">
        <f>O19-P19-Q19</f>
        <v/>
      </c>
      <c r="S19" s="4">
        <f>K19*Inputs!$B$13*(Inputs!$B$14-Inputs!$B$10)</f>
        <v/>
      </c>
      <c r="T19" s="4">
        <f>O19-S19</f>
        <v/>
      </c>
      <c r="U19" s="3">
        <f>IF(Q19=0,"",(T19-Q19)/Q19)</f>
        <v/>
      </c>
      <c r="V19" s="3">
        <f>L19-L18</f>
        <v/>
      </c>
      <c r="W19">
        <f>IF(Inputs!$B$21&lt;&gt;1,"DATA BLOCKED",IF(C19&lt;Inputs!$B$22,"INSUFFICIENT COHORT",IF(OR(D19&gt;Inputs!$B$19,V19&lt;-Inputs!$B$20),"REVIEW","OK")))</f>
        <v/>
      </c>
    </row>
    <row r="20">
      <c r="A20" t="n">
        <v>19</v>
      </c>
      <c r="B20" s="2">
        <f>EDATE(Inputs!$B$2,A20-1)</f>
        <v/>
      </c>
      <c r="C20" s="4">
        <f>G19</f>
        <v/>
      </c>
      <c r="D20" s="3">
        <f>MAX(0,MIN(1,Inputs!$B$5+Inputs!$B$16))</f>
        <v/>
      </c>
      <c r="E20" s="4">
        <f>C20*D20</f>
        <v/>
      </c>
      <c r="F20" s="4">
        <f>Inputs!$B$4</f>
        <v/>
      </c>
      <c r="G20" s="4">
        <f>C20-E20+F20</f>
        <v/>
      </c>
      <c r="H20" s="4">
        <f>Inputs!$B$6*(1+Inputs!$B$7)^(A20-1)</f>
        <v/>
      </c>
      <c r="I20" s="4">
        <f>(C20+G20)/2*H20</f>
        <v/>
      </c>
      <c r="J20" s="4">
        <f>I20*Inputs!$B$8</f>
        <v/>
      </c>
      <c r="K20" s="4">
        <f>I20-J20</f>
        <v/>
      </c>
      <c r="L20" s="3">
        <f>MAX(0,MIN(1,Inputs!$B$9+Inputs!$B$15))</f>
        <v/>
      </c>
      <c r="M20" s="4">
        <f>K20*L20</f>
        <v/>
      </c>
      <c r="N20" s="4">
        <f>K20*Inputs!$B$10</f>
        <v/>
      </c>
      <c r="O20" s="4">
        <f>M20-N20</f>
        <v/>
      </c>
      <c r="P20" s="4">
        <f>Inputs!$B$11</f>
        <v/>
      </c>
      <c r="Q20" s="4">
        <f>Inputs!$B$12</f>
        <v/>
      </c>
      <c r="R20" s="4">
        <f>O20-P20-Q20</f>
        <v/>
      </c>
      <c r="S20" s="4">
        <f>K20*Inputs!$B$13*(Inputs!$B$14-Inputs!$B$10)</f>
        <v/>
      </c>
      <c r="T20" s="4">
        <f>O20-S20</f>
        <v/>
      </c>
      <c r="U20" s="3">
        <f>IF(Q20=0,"",(T20-Q20)/Q20)</f>
        <v/>
      </c>
      <c r="V20" s="3">
        <f>L20-L19</f>
        <v/>
      </c>
      <c r="W20">
        <f>IF(Inputs!$B$21&lt;&gt;1,"DATA BLOCKED",IF(C20&lt;Inputs!$B$22,"INSUFFICIENT COHORT",IF(OR(D20&gt;Inputs!$B$19,V20&lt;-Inputs!$B$20),"REVIEW","OK")))</f>
        <v/>
      </c>
    </row>
    <row r="21">
      <c r="A21" t="n">
        <v>20</v>
      </c>
      <c r="B21" s="2">
        <f>EDATE(Inputs!$B$2,A21-1)</f>
        <v/>
      </c>
      <c r="C21" s="4">
        <f>G20</f>
        <v/>
      </c>
      <c r="D21" s="3">
        <f>MAX(0,MIN(1,Inputs!$B$5+Inputs!$B$16))</f>
        <v/>
      </c>
      <c r="E21" s="4">
        <f>C21*D21</f>
        <v/>
      </c>
      <c r="F21" s="4">
        <f>Inputs!$B$4</f>
        <v/>
      </c>
      <c r="G21" s="4">
        <f>C21-E21+F21</f>
        <v/>
      </c>
      <c r="H21" s="4">
        <f>Inputs!$B$6*(1+Inputs!$B$7)^(A21-1)</f>
        <v/>
      </c>
      <c r="I21" s="4">
        <f>(C21+G21)/2*H21</f>
        <v/>
      </c>
      <c r="J21" s="4">
        <f>I21*Inputs!$B$8</f>
        <v/>
      </c>
      <c r="K21" s="4">
        <f>I21-J21</f>
        <v/>
      </c>
      <c r="L21" s="3">
        <f>MAX(0,MIN(1,Inputs!$B$9+Inputs!$B$15))</f>
        <v/>
      </c>
      <c r="M21" s="4">
        <f>K21*L21</f>
        <v/>
      </c>
      <c r="N21" s="4">
        <f>K21*Inputs!$B$10</f>
        <v/>
      </c>
      <c r="O21" s="4">
        <f>M21-N21</f>
        <v/>
      </c>
      <c r="P21" s="4">
        <f>Inputs!$B$11</f>
        <v/>
      </c>
      <c r="Q21" s="4">
        <f>Inputs!$B$12</f>
        <v/>
      </c>
      <c r="R21" s="4">
        <f>O21-P21-Q21</f>
        <v/>
      </c>
      <c r="S21" s="4">
        <f>K21*Inputs!$B$13*(Inputs!$B$14-Inputs!$B$10)</f>
        <v/>
      </c>
      <c r="T21" s="4">
        <f>O21-S21</f>
        <v/>
      </c>
      <c r="U21" s="3">
        <f>IF(Q21=0,"",(T21-Q21)/Q21)</f>
        <v/>
      </c>
      <c r="V21" s="3">
        <f>L21-L20</f>
        <v/>
      </c>
      <c r="W21">
        <f>IF(Inputs!$B$21&lt;&gt;1,"DATA BLOCKED",IF(C21&lt;Inputs!$B$22,"INSUFFICIENT COHORT",IF(OR(D21&gt;Inputs!$B$19,V21&lt;-Inputs!$B$20),"REVIEW","OK")))</f>
        <v/>
      </c>
    </row>
    <row r="22">
      <c r="A22" t="n">
        <v>21</v>
      </c>
      <c r="B22" s="2">
        <f>EDATE(Inputs!$B$2,A22-1)</f>
        <v/>
      </c>
      <c r="C22" s="4">
        <f>G21</f>
        <v/>
      </c>
      <c r="D22" s="3">
        <f>MAX(0,MIN(1,Inputs!$B$5+Inputs!$B$16))</f>
        <v/>
      </c>
      <c r="E22" s="4">
        <f>C22*D22</f>
        <v/>
      </c>
      <c r="F22" s="4">
        <f>Inputs!$B$4</f>
        <v/>
      </c>
      <c r="G22" s="4">
        <f>C22-E22+F22</f>
        <v/>
      </c>
      <c r="H22" s="4">
        <f>Inputs!$B$6*(1+Inputs!$B$7)^(A22-1)</f>
        <v/>
      </c>
      <c r="I22" s="4">
        <f>(C22+G22)/2*H22</f>
        <v/>
      </c>
      <c r="J22" s="4">
        <f>I22*Inputs!$B$8</f>
        <v/>
      </c>
      <c r="K22" s="4">
        <f>I22-J22</f>
        <v/>
      </c>
      <c r="L22" s="3">
        <f>MAX(0,MIN(1,Inputs!$B$9+Inputs!$B$15))</f>
        <v/>
      </c>
      <c r="M22" s="4">
        <f>K22*L22</f>
        <v/>
      </c>
      <c r="N22" s="4">
        <f>K22*Inputs!$B$10</f>
        <v/>
      </c>
      <c r="O22" s="4">
        <f>M22-N22</f>
        <v/>
      </c>
      <c r="P22" s="4">
        <f>Inputs!$B$11</f>
        <v/>
      </c>
      <c r="Q22" s="4">
        <f>Inputs!$B$12</f>
        <v/>
      </c>
      <c r="R22" s="4">
        <f>O22-P22-Q22</f>
        <v/>
      </c>
      <c r="S22" s="4">
        <f>K22*Inputs!$B$13*(Inputs!$B$14-Inputs!$B$10)</f>
        <v/>
      </c>
      <c r="T22" s="4">
        <f>O22-S22</f>
        <v/>
      </c>
      <c r="U22" s="3">
        <f>IF(Q22=0,"",(T22-Q22)/Q22)</f>
        <v/>
      </c>
      <c r="V22" s="3">
        <f>L22-L21</f>
        <v/>
      </c>
      <c r="W22">
        <f>IF(Inputs!$B$21&lt;&gt;1,"DATA BLOCKED",IF(C22&lt;Inputs!$B$22,"INSUFFICIENT COHORT",IF(OR(D22&gt;Inputs!$B$19,V22&lt;-Inputs!$B$20),"REVIEW","OK")))</f>
        <v/>
      </c>
    </row>
    <row r="23">
      <c r="A23" t="n">
        <v>22</v>
      </c>
      <c r="B23" s="2">
        <f>EDATE(Inputs!$B$2,A23-1)</f>
        <v/>
      </c>
      <c r="C23" s="4">
        <f>G22</f>
        <v/>
      </c>
      <c r="D23" s="3">
        <f>MAX(0,MIN(1,Inputs!$B$5+Inputs!$B$16))</f>
        <v/>
      </c>
      <c r="E23" s="4">
        <f>C23*D23</f>
        <v/>
      </c>
      <c r="F23" s="4">
        <f>Inputs!$B$4</f>
        <v/>
      </c>
      <c r="G23" s="4">
        <f>C23-E23+F23</f>
        <v/>
      </c>
      <c r="H23" s="4">
        <f>Inputs!$B$6*(1+Inputs!$B$7)^(A23-1)</f>
        <v/>
      </c>
      <c r="I23" s="4">
        <f>(C23+G23)/2*H23</f>
        <v/>
      </c>
      <c r="J23" s="4">
        <f>I23*Inputs!$B$8</f>
        <v/>
      </c>
      <c r="K23" s="4">
        <f>I23-J23</f>
        <v/>
      </c>
      <c r="L23" s="3">
        <f>MAX(0,MIN(1,Inputs!$B$9+Inputs!$B$15))</f>
        <v/>
      </c>
      <c r="M23" s="4">
        <f>K23*L23</f>
        <v/>
      </c>
      <c r="N23" s="4">
        <f>K23*Inputs!$B$10</f>
        <v/>
      </c>
      <c r="O23" s="4">
        <f>M23-N23</f>
        <v/>
      </c>
      <c r="P23" s="4">
        <f>Inputs!$B$11</f>
        <v/>
      </c>
      <c r="Q23" s="4">
        <f>Inputs!$B$12</f>
        <v/>
      </c>
      <c r="R23" s="4">
        <f>O23-P23-Q23</f>
        <v/>
      </c>
      <c r="S23" s="4">
        <f>K23*Inputs!$B$13*(Inputs!$B$14-Inputs!$B$10)</f>
        <v/>
      </c>
      <c r="T23" s="4">
        <f>O23-S23</f>
        <v/>
      </c>
      <c r="U23" s="3">
        <f>IF(Q23=0,"",(T23-Q23)/Q23)</f>
        <v/>
      </c>
      <c r="V23" s="3">
        <f>L23-L22</f>
        <v/>
      </c>
      <c r="W23">
        <f>IF(Inputs!$B$21&lt;&gt;1,"DATA BLOCKED",IF(C23&lt;Inputs!$B$22,"INSUFFICIENT COHORT",IF(OR(D23&gt;Inputs!$B$19,V23&lt;-Inputs!$B$20),"REVIEW","OK")))</f>
        <v/>
      </c>
    </row>
    <row r="24">
      <c r="A24" t="n">
        <v>23</v>
      </c>
      <c r="B24" s="2">
        <f>EDATE(Inputs!$B$2,A24-1)</f>
        <v/>
      </c>
      <c r="C24" s="4">
        <f>G23</f>
        <v/>
      </c>
      <c r="D24" s="3">
        <f>MAX(0,MIN(1,Inputs!$B$5+Inputs!$B$16))</f>
        <v/>
      </c>
      <c r="E24" s="4">
        <f>C24*D24</f>
        <v/>
      </c>
      <c r="F24" s="4">
        <f>Inputs!$B$4</f>
        <v/>
      </c>
      <c r="G24" s="4">
        <f>C24-E24+F24</f>
        <v/>
      </c>
      <c r="H24" s="4">
        <f>Inputs!$B$6*(1+Inputs!$B$7)^(A24-1)</f>
        <v/>
      </c>
      <c r="I24" s="4">
        <f>(C24+G24)/2*H24</f>
        <v/>
      </c>
      <c r="J24" s="4">
        <f>I24*Inputs!$B$8</f>
        <v/>
      </c>
      <c r="K24" s="4">
        <f>I24-J24</f>
        <v/>
      </c>
      <c r="L24" s="3">
        <f>MAX(0,MIN(1,Inputs!$B$9+Inputs!$B$15))</f>
        <v/>
      </c>
      <c r="M24" s="4">
        <f>K24*L24</f>
        <v/>
      </c>
      <c r="N24" s="4">
        <f>K24*Inputs!$B$10</f>
        <v/>
      </c>
      <c r="O24" s="4">
        <f>M24-N24</f>
        <v/>
      </c>
      <c r="P24" s="4">
        <f>Inputs!$B$11</f>
        <v/>
      </c>
      <c r="Q24" s="4">
        <f>Inputs!$B$12</f>
        <v/>
      </c>
      <c r="R24" s="4">
        <f>O24-P24-Q24</f>
        <v/>
      </c>
      <c r="S24" s="4">
        <f>K24*Inputs!$B$13*(Inputs!$B$14-Inputs!$B$10)</f>
        <v/>
      </c>
      <c r="T24" s="4">
        <f>O24-S24</f>
        <v/>
      </c>
      <c r="U24" s="3">
        <f>IF(Q24=0,"",(T24-Q24)/Q24)</f>
        <v/>
      </c>
      <c r="V24" s="3">
        <f>L24-L23</f>
        <v/>
      </c>
      <c r="W24">
        <f>IF(Inputs!$B$21&lt;&gt;1,"DATA BLOCKED",IF(C24&lt;Inputs!$B$22,"INSUFFICIENT COHORT",IF(OR(D24&gt;Inputs!$B$19,V24&lt;-Inputs!$B$20),"REVIEW","OK")))</f>
        <v/>
      </c>
    </row>
    <row r="25">
      <c r="A25" t="n">
        <v>24</v>
      </c>
      <c r="B25" s="2">
        <f>EDATE(Inputs!$B$2,A25-1)</f>
        <v/>
      </c>
      <c r="C25" s="4">
        <f>G24</f>
        <v/>
      </c>
      <c r="D25" s="3">
        <f>MAX(0,MIN(1,Inputs!$B$5+Inputs!$B$16))</f>
        <v/>
      </c>
      <c r="E25" s="4">
        <f>C25*D25</f>
        <v/>
      </c>
      <c r="F25" s="4">
        <f>Inputs!$B$4</f>
        <v/>
      </c>
      <c r="G25" s="4">
        <f>C25-E25+F25</f>
        <v/>
      </c>
      <c r="H25" s="4">
        <f>Inputs!$B$6*(1+Inputs!$B$7)^(A25-1)</f>
        <v/>
      </c>
      <c r="I25" s="4">
        <f>(C25+G25)/2*H25</f>
        <v/>
      </c>
      <c r="J25" s="4">
        <f>I25*Inputs!$B$8</f>
        <v/>
      </c>
      <c r="K25" s="4">
        <f>I25-J25</f>
        <v/>
      </c>
      <c r="L25" s="3">
        <f>MAX(0,MIN(1,Inputs!$B$9+Inputs!$B$15))</f>
        <v/>
      </c>
      <c r="M25" s="4">
        <f>K25*L25</f>
        <v/>
      </c>
      <c r="N25" s="4">
        <f>K25*Inputs!$B$10</f>
        <v/>
      </c>
      <c r="O25" s="4">
        <f>M25-N25</f>
        <v/>
      </c>
      <c r="P25" s="4">
        <f>Inputs!$B$11</f>
        <v/>
      </c>
      <c r="Q25" s="4">
        <f>Inputs!$B$12</f>
        <v/>
      </c>
      <c r="R25" s="4">
        <f>O25-P25-Q25</f>
        <v/>
      </c>
      <c r="S25" s="4">
        <f>K25*Inputs!$B$13*(Inputs!$B$14-Inputs!$B$10)</f>
        <v/>
      </c>
      <c r="T25" s="4">
        <f>O25-S25</f>
        <v/>
      </c>
      <c r="U25" s="3">
        <f>IF(Q25=0,"",(T25-Q25)/Q25)</f>
        <v/>
      </c>
      <c r="V25" s="3">
        <f>L25-L24</f>
        <v/>
      </c>
      <c r="W25">
        <f>IF(Inputs!$B$21&lt;&gt;1,"DATA BLOCKED",IF(C25&lt;Inputs!$B$22,"INSUFFICIENT COHORT",IF(OR(D25&gt;Inputs!$B$19,V25&lt;-Inputs!$B$20),"REVIEW","OK")))</f>
        <v/>
      </c>
    </row>
    <row r="26">
      <c r="A26" t="n">
        <v>25</v>
      </c>
      <c r="B26" s="2">
        <f>EDATE(Inputs!$B$2,A26-1)</f>
        <v/>
      </c>
      <c r="C26" s="4">
        <f>G25</f>
        <v/>
      </c>
      <c r="D26" s="3">
        <f>MAX(0,MIN(1,Inputs!$B$5+Inputs!$B$16))</f>
        <v/>
      </c>
      <c r="E26" s="4">
        <f>C26*D26</f>
        <v/>
      </c>
      <c r="F26" s="4">
        <f>Inputs!$B$4</f>
        <v/>
      </c>
      <c r="G26" s="4">
        <f>C26-E26+F26</f>
        <v/>
      </c>
      <c r="H26" s="4">
        <f>Inputs!$B$6*(1+Inputs!$B$7)^(A26-1)</f>
        <v/>
      </c>
      <c r="I26" s="4">
        <f>(C26+G26)/2*H26</f>
        <v/>
      </c>
      <c r="J26" s="4">
        <f>I26*Inputs!$B$8</f>
        <v/>
      </c>
      <c r="K26" s="4">
        <f>I26-J26</f>
        <v/>
      </c>
      <c r="L26" s="3">
        <f>MAX(0,MIN(1,Inputs!$B$9+Inputs!$B$15))</f>
        <v/>
      </c>
      <c r="M26" s="4">
        <f>K26*L26</f>
        <v/>
      </c>
      <c r="N26" s="4">
        <f>K26*Inputs!$B$10</f>
        <v/>
      </c>
      <c r="O26" s="4">
        <f>M26-N26</f>
        <v/>
      </c>
      <c r="P26" s="4">
        <f>Inputs!$B$11</f>
        <v/>
      </c>
      <c r="Q26" s="4">
        <f>Inputs!$B$12</f>
        <v/>
      </c>
      <c r="R26" s="4">
        <f>O26-P26-Q26</f>
        <v/>
      </c>
      <c r="S26" s="4">
        <f>K26*Inputs!$B$13*(Inputs!$B$14-Inputs!$B$10)</f>
        <v/>
      </c>
      <c r="T26" s="4">
        <f>O26-S26</f>
        <v/>
      </c>
      <c r="U26" s="3">
        <f>IF(Q26=0,"",(T26-Q26)/Q26)</f>
        <v/>
      </c>
      <c r="V26" s="3">
        <f>L26-L25</f>
        <v/>
      </c>
      <c r="W26">
        <f>IF(Inputs!$B$21&lt;&gt;1,"DATA BLOCKED",IF(C26&lt;Inputs!$B$22,"INSUFFICIENT COHORT",IF(OR(D26&gt;Inputs!$B$19,V26&lt;-Inputs!$B$20),"REVIEW","OK")))</f>
        <v/>
      </c>
    </row>
    <row r="27">
      <c r="A27" t="n">
        <v>26</v>
      </c>
      <c r="B27" s="2">
        <f>EDATE(Inputs!$B$2,A27-1)</f>
        <v/>
      </c>
      <c r="C27" s="4">
        <f>G26</f>
        <v/>
      </c>
      <c r="D27" s="3">
        <f>MAX(0,MIN(1,Inputs!$B$5+Inputs!$B$16))</f>
        <v/>
      </c>
      <c r="E27" s="4">
        <f>C27*D27</f>
        <v/>
      </c>
      <c r="F27" s="4">
        <f>Inputs!$B$4</f>
        <v/>
      </c>
      <c r="G27" s="4">
        <f>C27-E27+F27</f>
        <v/>
      </c>
      <c r="H27" s="4">
        <f>Inputs!$B$6*(1+Inputs!$B$7)^(A27-1)</f>
        <v/>
      </c>
      <c r="I27" s="4">
        <f>(C27+G27)/2*H27</f>
        <v/>
      </c>
      <c r="J27" s="4">
        <f>I27*Inputs!$B$8</f>
        <v/>
      </c>
      <c r="K27" s="4">
        <f>I27-J27</f>
        <v/>
      </c>
      <c r="L27" s="3">
        <f>MAX(0,MIN(1,Inputs!$B$9+Inputs!$B$15))</f>
        <v/>
      </c>
      <c r="M27" s="4">
        <f>K27*L27</f>
        <v/>
      </c>
      <c r="N27" s="4">
        <f>K27*Inputs!$B$10</f>
        <v/>
      </c>
      <c r="O27" s="4">
        <f>M27-N27</f>
        <v/>
      </c>
      <c r="P27" s="4">
        <f>Inputs!$B$11</f>
        <v/>
      </c>
      <c r="Q27" s="4">
        <f>Inputs!$B$12</f>
        <v/>
      </c>
      <c r="R27" s="4">
        <f>O27-P27-Q27</f>
        <v/>
      </c>
      <c r="S27" s="4">
        <f>K27*Inputs!$B$13*(Inputs!$B$14-Inputs!$B$10)</f>
        <v/>
      </c>
      <c r="T27" s="4">
        <f>O27-S27</f>
        <v/>
      </c>
      <c r="U27" s="3">
        <f>IF(Q27=0,"",(T27-Q27)/Q27)</f>
        <v/>
      </c>
      <c r="V27" s="3">
        <f>L27-L26</f>
        <v/>
      </c>
      <c r="W27">
        <f>IF(Inputs!$B$21&lt;&gt;1,"DATA BLOCKED",IF(C27&lt;Inputs!$B$22,"INSUFFICIENT COHORT",IF(OR(D27&gt;Inputs!$B$19,V27&lt;-Inputs!$B$20),"REVIEW","OK")))</f>
        <v/>
      </c>
    </row>
    <row r="28">
      <c r="A28" t="n">
        <v>27</v>
      </c>
      <c r="B28" s="2">
        <f>EDATE(Inputs!$B$2,A28-1)</f>
        <v/>
      </c>
      <c r="C28" s="4">
        <f>G27</f>
        <v/>
      </c>
      <c r="D28" s="3">
        <f>MAX(0,MIN(1,Inputs!$B$5+Inputs!$B$16))</f>
        <v/>
      </c>
      <c r="E28" s="4">
        <f>C28*D28</f>
        <v/>
      </c>
      <c r="F28" s="4">
        <f>Inputs!$B$4</f>
        <v/>
      </c>
      <c r="G28" s="4">
        <f>C28-E28+F28</f>
        <v/>
      </c>
      <c r="H28" s="4">
        <f>Inputs!$B$6*(1+Inputs!$B$7)^(A28-1)</f>
        <v/>
      </c>
      <c r="I28" s="4">
        <f>(C28+G28)/2*H28</f>
        <v/>
      </c>
      <c r="J28" s="4">
        <f>I28*Inputs!$B$8</f>
        <v/>
      </c>
      <c r="K28" s="4">
        <f>I28-J28</f>
        <v/>
      </c>
      <c r="L28" s="3">
        <f>MAX(0,MIN(1,Inputs!$B$9+Inputs!$B$15))</f>
        <v/>
      </c>
      <c r="M28" s="4">
        <f>K28*L28</f>
        <v/>
      </c>
      <c r="N28" s="4">
        <f>K28*Inputs!$B$10</f>
        <v/>
      </c>
      <c r="O28" s="4">
        <f>M28-N28</f>
        <v/>
      </c>
      <c r="P28" s="4">
        <f>Inputs!$B$11</f>
        <v/>
      </c>
      <c r="Q28" s="4">
        <f>Inputs!$B$12</f>
        <v/>
      </c>
      <c r="R28" s="4">
        <f>O28-P28-Q28</f>
        <v/>
      </c>
      <c r="S28" s="4">
        <f>K28*Inputs!$B$13*(Inputs!$B$14-Inputs!$B$10)</f>
        <v/>
      </c>
      <c r="T28" s="4">
        <f>O28-S28</f>
        <v/>
      </c>
      <c r="U28" s="3">
        <f>IF(Q28=0,"",(T28-Q28)/Q28)</f>
        <v/>
      </c>
      <c r="V28" s="3">
        <f>L28-L27</f>
        <v/>
      </c>
      <c r="W28">
        <f>IF(Inputs!$B$21&lt;&gt;1,"DATA BLOCKED",IF(C28&lt;Inputs!$B$22,"INSUFFICIENT COHORT",IF(OR(D28&gt;Inputs!$B$19,V28&lt;-Inputs!$B$20),"REVIEW","OK")))</f>
        <v/>
      </c>
    </row>
    <row r="29">
      <c r="A29" t="n">
        <v>28</v>
      </c>
      <c r="B29" s="2">
        <f>EDATE(Inputs!$B$2,A29-1)</f>
        <v/>
      </c>
      <c r="C29" s="4">
        <f>G28</f>
        <v/>
      </c>
      <c r="D29" s="3">
        <f>MAX(0,MIN(1,Inputs!$B$5+Inputs!$B$16))</f>
        <v/>
      </c>
      <c r="E29" s="4">
        <f>C29*D29</f>
        <v/>
      </c>
      <c r="F29" s="4">
        <f>Inputs!$B$4</f>
        <v/>
      </c>
      <c r="G29" s="4">
        <f>C29-E29+F29</f>
        <v/>
      </c>
      <c r="H29" s="4">
        <f>Inputs!$B$6*(1+Inputs!$B$7)^(A29-1)</f>
        <v/>
      </c>
      <c r="I29" s="4">
        <f>(C29+G29)/2*H29</f>
        <v/>
      </c>
      <c r="J29" s="4">
        <f>I29*Inputs!$B$8</f>
        <v/>
      </c>
      <c r="K29" s="4">
        <f>I29-J29</f>
        <v/>
      </c>
      <c r="L29" s="3">
        <f>MAX(0,MIN(1,Inputs!$B$9+Inputs!$B$15))</f>
        <v/>
      </c>
      <c r="M29" s="4">
        <f>K29*L29</f>
        <v/>
      </c>
      <c r="N29" s="4">
        <f>K29*Inputs!$B$10</f>
        <v/>
      </c>
      <c r="O29" s="4">
        <f>M29-N29</f>
        <v/>
      </c>
      <c r="P29" s="4">
        <f>Inputs!$B$11</f>
        <v/>
      </c>
      <c r="Q29" s="4">
        <f>Inputs!$B$12</f>
        <v/>
      </c>
      <c r="R29" s="4">
        <f>O29-P29-Q29</f>
        <v/>
      </c>
      <c r="S29" s="4">
        <f>K29*Inputs!$B$13*(Inputs!$B$14-Inputs!$B$10)</f>
        <v/>
      </c>
      <c r="T29" s="4">
        <f>O29-S29</f>
        <v/>
      </c>
      <c r="U29" s="3">
        <f>IF(Q29=0,"",(T29-Q29)/Q29)</f>
        <v/>
      </c>
      <c r="V29" s="3">
        <f>L29-L28</f>
        <v/>
      </c>
      <c r="W29">
        <f>IF(Inputs!$B$21&lt;&gt;1,"DATA BLOCKED",IF(C29&lt;Inputs!$B$22,"INSUFFICIENT COHORT",IF(OR(D29&gt;Inputs!$B$19,V29&lt;-Inputs!$B$20),"REVIEW","OK")))</f>
        <v/>
      </c>
    </row>
    <row r="30">
      <c r="A30" t="n">
        <v>29</v>
      </c>
      <c r="B30" s="2">
        <f>EDATE(Inputs!$B$2,A30-1)</f>
        <v/>
      </c>
      <c r="C30" s="4">
        <f>G29</f>
        <v/>
      </c>
      <c r="D30" s="3">
        <f>MAX(0,MIN(1,Inputs!$B$5+Inputs!$B$16))</f>
        <v/>
      </c>
      <c r="E30" s="4">
        <f>C30*D30</f>
        <v/>
      </c>
      <c r="F30" s="4">
        <f>Inputs!$B$4</f>
        <v/>
      </c>
      <c r="G30" s="4">
        <f>C30-E30+F30</f>
        <v/>
      </c>
      <c r="H30" s="4">
        <f>Inputs!$B$6*(1+Inputs!$B$7)^(A30-1)</f>
        <v/>
      </c>
      <c r="I30" s="4">
        <f>(C30+G30)/2*H30</f>
        <v/>
      </c>
      <c r="J30" s="4">
        <f>I30*Inputs!$B$8</f>
        <v/>
      </c>
      <c r="K30" s="4">
        <f>I30-J30</f>
        <v/>
      </c>
      <c r="L30" s="3">
        <f>MAX(0,MIN(1,Inputs!$B$9+Inputs!$B$15))</f>
        <v/>
      </c>
      <c r="M30" s="4">
        <f>K30*L30</f>
        <v/>
      </c>
      <c r="N30" s="4">
        <f>K30*Inputs!$B$10</f>
        <v/>
      </c>
      <c r="O30" s="4">
        <f>M30-N30</f>
        <v/>
      </c>
      <c r="P30" s="4">
        <f>Inputs!$B$11</f>
        <v/>
      </c>
      <c r="Q30" s="4">
        <f>Inputs!$B$12</f>
        <v/>
      </c>
      <c r="R30" s="4">
        <f>O30-P30-Q30</f>
        <v/>
      </c>
      <c r="S30" s="4">
        <f>K30*Inputs!$B$13*(Inputs!$B$14-Inputs!$B$10)</f>
        <v/>
      </c>
      <c r="T30" s="4">
        <f>O30-S30</f>
        <v/>
      </c>
      <c r="U30" s="3">
        <f>IF(Q30=0,"",(T30-Q30)/Q30)</f>
        <v/>
      </c>
      <c r="V30" s="3">
        <f>L30-L29</f>
        <v/>
      </c>
      <c r="W30">
        <f>IF(Inputs!$B$21&lt;&gt;1,"DATA BLOCKED",IF(C30&lt;Inputs!$B$22,"INSUFFICIENT COHORT",IF(OR(D30&gt;Inputs!$B$19,V30&lt;-Inputs!$B$20),"REVIEW","OK")))</f>
        <v/>
      </c>
    </row>
    <row r="31">
      <c r="A31" t="n">
        <v>30</v>
      </c>
      <c r="B31" s="2">
        <f>EDATE(Inputs!$B$2,A31-1)</f>
        <v/>
      </c>
      <c r="C31" s="4">
        <f>G30</f>
        <v/>
      </c>
      <c r="D31" s="3">
        <f>MAX(0,MIN(1,Inputs!$B$5+Inputs!$B$16))</f>
        <v/>
      </c>
      <c r="E31" s="4">
        <f>C31*D31</f>
        <v/>
      </c>
      <c r="F31" s="4">
        <f>Inputs!$B$4</f>
        <v/>
      </c>
      <c r="G31" s="4">
        <f>C31-E31+F31</f>
        <v/>
      </c>
      <c r="H31" s="4">
        <f>Inputs!$B$6*(1+Inputs!$B$7)^(A31-1)</f>
        <v/>
      </c>
      <c r="I31" s="4">
        <f>(C31+G31)/2*H31</f>
        <v/>
      </c>
      <c r="J31" s="4">
        <f>I31*Inputs!$B$8</f>
        <v/>
      </c>
      <c r="K31" s="4">
        <f>I31-J31</f>
        <v/>
      </c>
      <c r="L31" s="3">
        <f>MAX(0,MIN(1,Inputs!$B$9+Inputs!$B$15))</f>
        <v/>
      </c>
      <c r="M31" s="4">
        <f>K31*L31</f>
        <v/>
      </c>
      <c r="N31" s="4">
        <f>K31*Inputs!$B$10</f>
        <v/>
      </c>
      <c r="O31" s="4">
        <f>M31-N31</f>
        <v/>
      </c>
      <c r="P31" s="4">
        <f>Inputs!$B$11</f>
        <v/>
      </c>
      <c r="Q31" s="4">
        <f>Inputs!$B$12</f>
        <v/>
      </c>
      <c r="R31" s="4">
        <f>O31-P31-Q31</f>
        <v/>
      </c>
      <c r="S31" s="4">
        <f>K31*Inputs!$B$13*(Inputs!$B$14-Inputs!$B$10)</f>
        <v/>
      </c>
      <c r="T31" s="4">
        <f>O31-S31</f>
        <v/>
      </c>
      <c r="U31" s="3">
        <f>IF(Q31=0,"",(T31-Q31)/Q31)</f>
        <v/>
      </c>
      <c r="V31" s="3">
        <f>L31-L30</f>
        <v/>
      </c>
      <c r="W31">
        <f>IF(Inputs!$B$21&lt;&gt;1,"DATA BLOCKED",IF(C31&lt;Inputs!$B$22,"INSUFFICIENT COHORT",IF(OR(D31&gt;Inputs!$B$19,V31&lt;-Inputs!$B$20),"REVIEW","OK")))</f>
        <v/>
      </c>
    </row>
    <row r="32">
      <c r="A32" t="n">
        <v>31</v>
      </c>
      <c r="B32" s="2">
        <f>EDATE(Inputs!$B$2,A32-1)</f>
        <v/>
      </c>
      <c r="C32" s="4">
        <f>G31</f>
        <v/>
      </c>
      <c r="D32" s="3">
        <f>MAX(0,MIN(1,Inputs!$B$5+Inputs!$B$16))</f>
        <v/>
      </c>
      <c r="E32" s="4">
        <f>C32*D32</f>
        <v/>
      </c>
      <c r="F32" s="4">
        <f>Inputs!$B$4</f>
        <v/>
      </c>
      <c r="G32" s="4">
        <f>C32-E32+F32</f>
        <v/>
      </c>
      <c r="H32" s="4">
        <f>Inputs!$B$6*(1+Inputs!$B$7)^(A32-1)</f>
        <v/>
      </c>
      <c r="I32" s="4">
        <f>(C32+G32)/2*H32</f>
        <v/>
      </c>
      <c r="J32" s="4">
        <f>I32*Inputs!$B$8</f>
        <v/>
      </c>
      <c r="K32" s="4">
        <f>I32-J32</f>
        <v/>
      </c>
      <c r="L32" s="3">
        <f>MAX(0,MIN(1,Inputs!$B$9+Inputs!$B$15))</f>
        <v/>
      </c>
      <c r="M32" s="4">
        <f>K32*L32</f>
        <v/>
      </c>
      <c r="N32" s="4">
        <f>K32*Inputs!$B$10</f>
        <v/>
      </c>
      <c r="O32" s="4">
        <f>M32-N32</f>
        <v/>
      </c>
      <c r="P32" s="4">
        <f>Inputs!$B$11</f>
        <v/>
      </c>
      <c r="Q32" s="4">
        <f>Inputs!$B$12</f>
        <v/>
      </c>
      <c r="R32" s="4">
        <f>O32-P32-Q32</f>
        <v/>
      </c>
      <c r="S32" s="4">
        <f>K32*Inputs!$B$13*(Inputs!$B$14-Inputs!$B$10)</f>
        <v/>
      </c>
      <c r="T32" s="4">
        <f>O32-S32</f>
        <v/>
      </c>
      <c r="U32" s="3">
        <f>IF(Q32=0,"",(T32-Q32)/Q32)</f>
        <v/>
      </c>
      <c r="V32" s="3">
        <f>L32-L31</f>
        <v/>
      </c>
      <c r="W32">
        <f>IF(Inputs!$B$21&lt;&gt;1,"DATA BLOCKED",IF(C32&lt;Inputs!$B$22,"INSUFFICIENT COHORT",IF(OR(D32&gt;Inputs!$B$19,V32&lt;-Inputs!$B$20),"REVIEW","OK")))</f>
        <v/>
      </c>
    </row>
    <row r="33">
      <c r="A33" t="n">
        <v>32</v>
      </c>
      <c r="B33" s="2">
        <f>EDATE(Inputs!$B$2,A33-1)</f>
        <v/>
      </c>
      <c r="C33" s="4">
        <f>G32</f>
        <v/>
      </c>
      <c r="D33" s="3">
        <f>MAX(0,MIN(1,Inputs!$B$5+Inputs!$B$16))</f>
        <v/>
      </c>
      <c r="E33" s="4">
        <f>C33*D33</f>
        <v/>
      </c>
      <c r="F33" s="4">
        <f>Inputs!$B$4</f>
        <v/>
      </c>
      <c r="G33" s="4">
        <f>C33-E33+F33</f>
        <v/>
      </c>
      <c r="H33" s="4">
        <f>Inputs!$B$6*(1+Inputs!$B$7)^(A33-1)</f>
        <v/>
      </c>
      <c r="I33" s="4">
        <f>(C33+G33)/2*H33</f>
        <v/>
      </c>
      <c r="J33" s="4">
        <f>I33*Inputs!$B$8</f>
        <v/>
      </c>
      <c r="K33" s="4">
        <f>I33-J33</f>
        <v/>
      </c>
      <c r="L33" s="3">
        <f>MAX(0,MIN(1,Inputs!$B$9+Inputs!$B$15))</f>
        <v/>
      </c>
      <c r="M33" s="4">
        <f>K33*L33</f>
        <v/>
      </c>
      <c r="N33" s="4">
        <f>K33*Inputs!$B$10</f>
        <v/>
      </c>
      <c r="O33" s="4">
        <f>M33-N33</f>
        <v/>
      </c>
      <c r="P33" s="4">
        <f>Inputs!$B$11</f>
        <v/>
      </c>
      <c r="Q33" s="4">
        <f>Inputs!$B$12</f>
        <v/>
      </c>
      <c r="R33" s="4">
        <f>O33-P33-Q33</f>
        <v/>
      </c>
      <c r="S33" s="4">
        <f>K33*Inputs!$B$13*(Inputs!$B$14-Inputs!$B$10)</f>
        <v/>
      </c>
      <c r="T33" s="4">
        <f>O33-S33</f>
        <v/>
      </c>
      <c r="U33" s="3">
        <f>IF(Q33=0,"",(T33-Q33)/Q33)</f>
        <v/>
      </c>
      <c r="V33" s="3">
        <f>L33-L32</f>
        <v/>
      </c>
      <c r="W33">
        <f>IF(Inputs!$B$21&lt;&gt;1,"DATA BLOCKED",IF(C33&lt;Inputs!$B$22,"INSUFFICIENT COHORT",IF(OR(D33&gt;Inputs!$B$19,V33&lt;-Inputs!$B$20),"REVIEW","OK")))</f>
        <v/>
      </c>
    </row>
    <row r="34">
      <c r="A34" t="n">
        <v>33</v>
      </c>
      <c r="B34" s="2">
        <f>EDATE(Inputs!$B$2,A34-1)</f>
        <v/>
      </c>
      <c r="C34" s="4">
        <f>G33</f>
        <v/>
      </c>
      <c r="D34" s="3">
        <f>MAX(0,MIN(1,Inputs!$B$5+Inputs!$B$16))</f>
        <v/>
      </c>
      <c r="E34" s="4">
        <f>C34*D34</f>
        <v/>
      </c>
      <c r="F34" s="4">
        <f>Inputs!$B$4</f>
        <v/>
      </c>
      <c r="G34" s="4">
        <f>C34-E34+F34</f>
        <v/>
      </c>
      <c r="H34" s="4">
        <f>Inputs!$B$6*(1+Inputs!$B$7)^(A34-1)</f>
        <v/>
      </c>
      <c r="I34" s="4">
        <f>(C34+G34)/2*H34</f>
        <v/>
      </c>
      <c r="J34" s="4">
        <f>I34*Inputs!$B$8</f>
        <v/>
      </c>
      <c r="K34" s="4">
        <f>I34-J34</f>
        <v/>
      </c>
      <c r="L34" s="3">
        <f>MAX(0,MIN(1,Inputs!$B$9+Inputs!$B$15))</f>
        <v/>
      </c>
      <c r="M34" s="4">
        <f>K34*L34</f>
        <v/>
      </c>
      <c r="N34" s="4">
        <f>K34*Inputs!$B$10</f>
        <v/>
      </c>
      <c r="O34" s="4">
        <f>M34-N34</f>
        <v/>
      </c>
      <c r="P34" s="4">
        <f>Inputs!$B$11</f>
        <v/>
      </c>
      <c r="Q34" s="4">
        <f>Inputs!$B$12</f>
        <v/>
      </c>
      <c r="R34" s="4">
        <f>O34-P34-Q34</f>
        <v/>
      </c>
      <c r="S34" s="4">
        <f>K34*Inputs!$B$13*(Inputs!$B$14-Inputs!$B$10)</f>
        <v/>
      </c>
      <c r="T34" s="4">
        <f>O34-S34</f>
        <v/>
      </c>
      <c r="U34" s="3">
        <f>IF(Q34=0,"",(T34-Q34)/Q34)</f>
        <v/>
      </c>
      <c r="V34" s="3">
        <f>L34-L33</f>
        <v/>
      </c>
      <c r="W34">
        <f>IF(Inputs!$B$21&lt;&gt;1,"DATA BLOCKED",IF(C34&lt;Inputs!$B$22,"INSUFFICIENT COHORT",IF(OR(D34&gt;Inputs!$B$19,V34&lt;-Inputs!$B$20),"REVIEW","OK")))</f>
        <v/>
      </c>
    </row>
    <row r="35">
      <c r="A35" t="n">
        <v>34</v>
      </c>
      <c r="B35" s="2">
        <f>EDATE(Inputs!$B$2,A35-1)</f>
        <v/>
      </c>
      <c r="C35" s="4">
        <f>G34</f>
        <v/>
      </c>
      <c r="D35" s="3">
        <f>MAX(0,MIN(1,Inputs!$B$5+Inputs!$B$16))</f>
        <v/>
      </c>
      <c r="E35" s="4">
        <f>C35*D35</f>
        <v/>
      </c>
      <c r="F35" s="4">
        <f>Inputs!$B$4</f>
        <v/>
      </c>
      <c r="G35" s="4">
        <f>C35-E35+F35</f>
        <v/>
      </c>
      <c r="H35" s="4">
        <f>Inputs!$B$6*(1+Inputs!$B$7)^(A35-1)</f>
        <v/>
      </c>
      <c r="I35" s="4">
        <f>(C35+G35)/2*H35</f>
        <v/>
      </c>
      <c r="J35" s="4">
        <f>I35*Inputs!$B$8</f>
        <v/>
      </c>
      <c r="K35" s="4">
        <f>I35-J35</f>
        <v/>
      </c>
      <c r="L35" s="3">
        <f>MAX(0,MIN(1,Inputs!$B$9+Inputs!$B$15))</f>
        <v/>
      </c>
      <c r="M35" s="4">
        <f>K35*L35</f>
        <v/>
      </c>
      <c r="N35" s="4">
        <f>K35*Inputs!$B$10</f>
        <v/>
      </c>
      <c r="O35" s="4">
        <f>M35-N35</f>
        <v/>
      </c>
      <c r="P35" s="4">
        <f>Inputs!$B$11</f>
        <v/>
      </c>
      <c r="Q35" s="4">
        <f>Inputs!$B$12</f>
        <v/>
      </c>
      <c r="R35" s="4">
        <f>O35-P35-Q35</f>
        <v/>
      </c>
      <c r="S35" s="4">
        <f>K35*Inputs!$B$13*(Inputs!$B$14-Inputs!$B$10)</f>
        <v/>
      </c>
      <c r="T35" s="4">
        <f>O35-S35</f>
        <v/>
      </c>
      <c r="U35" s="3">
        <f>IF(Q35=0,"",(T35-Q35)/Q35)</f>
        <v/>
      </c>
      <c r="V35" s="3">
        <f>L35-L34</f>
        <v/>
      </c>
      <c r="W35">
        <f>IF(Inputs!$B$21&lt;&gt;1,"DATA BLOCKED",IF(C35&lt;Inputs!$B$22,"INSUFFICIENT COHORT",IF(OR(D35&gt;Inputs!$B$19,V35&lt;-Inputs!$B$20),"REVIEW","OK")))</f>
        <v/>
      </c>
    </row>
    <row r="36">
      <c r="A36" t="n">
        <v>35</v>
      </c>
      <c r="B36" s="2">
        <f>EDATE(Inputs!$B$2,A36-1)</f>
        <v/>
      </c>
      <c r="C36" s="4">
        <f>G35</f>
        <v/>
      </c>
      <c r="D36" s="3">
        <f>MAX(0,MIN(1,Inputs!$B$5+Inputs!$B$16))</f>
        <v/>
      </c>
      <c r="E36" s="4">
        <f>C36*D36</f>
        <v/>
      </c>
      <c r="F36" s="4">
        <f>Inputs!$B$4</f>
        <v/>
      </c>
      <c r="G36" s="4">
        <f>C36-E36+F36</f>
        <v/>
      </c>
      <c r="H36" s="4">
        <f>Inputs!$B$6*(1+Inputs!$B$7)^(A36-1)</f>
        <v/>
      </c>
      <c r="I36" s="4">
        <f>(C36+G36)/2*H36</f>
        <v/>
      </c>
      <c r="J36" s="4">
        <f>I36*Inputs!$B$8</f>
        <v/>
      </c>
      <c r="K36" s="4">
        <f>I36-J36</f>
        <v/>
      </c>
      <c r="L36" s="3">
        <f>MAX(0,MIN(1,Inputs!$B$9+Inputs!$B$15))</f>
        <v/>
      </c>
      <c r="M36" s="4">
        <f>K36*L36</f>
        <v/>
      </c>
      <c r="N36" s="4">
        <f>K36*Inputs!$B$10</f>
        <v/>
      </c>
      <c r="O36" s="4">
        <f>M36-N36</f>
        <v/>
      </c>
      <c r="P36" s="4">
        <f>Inputs!$B$11</f>
        <v/>
      </c>
      <c r="Q36" s="4">
        <f>Inputs!$B$12</f>
        <v/>
      </c>
      <c r="R36" s="4">
        <f>O36-P36-Q36</f>
        <v/>
      </c>
      <c r="S36" s="4">
        <f>K36*Inputs!$B$13*(Inputs!$B$14-Inputs!$B$10)</f>
        <v/>
      </c>
      <c r="T36" s="4">
        <f>O36-S36</f>
        <v/>
      </c>
      <c r="U36" s="3">
        <f>IF(Q36=0,"",(T36-Q36)/Q36)</f>
        <v/>
      </c>
      <c r="V36" s="3">
        <f>L36-L35</f>
        <v/>
      </c>
      <c r="W36">
        <f>IF(Inputs!$B$21&lt;&gt;1,"DATA BLOCKED",IF(C36&lt;Inputs!$B$22,"INSUFFICIENT COHORT",IF(OR(D36&gt;Inputs!$B$19,V36&lt;-Inputs!$B$20),"REVIEW","OK")))</f>
        <v/>
      </c>
    </row>
    <row r="37">
      <c r="A37" t="n">
        <v>36</v>
      </c>
      <c r="B37" s="2">
        <f>EDATE(Inputs!$B$2,A37-1)</f>
        <v/>
      </c>
      <c r="C37" s="4">
        <f>G36</f>
        <v/>
      </c>
      <c r="D37" s="3">
        <f>MAX(0,MIN(1,Inputs!$B$5+Inputs!$B$16))</f>
        <v/>
      </c>
      <c r="E37" s="4">
        <f>C37*D37</f>
        <v/>
      </c>
      <c r="F37" s="4">
        <f>Inputs!$B$4</f>
        <v/>
      </c>
      <c r="G37" s="4">
        <f>C37-E37+F37</f>
        <v/>
      </c>
      <c r="H37" s="4">
        <f>Inputs!$B$6*(1+Inputs!$B$7)^(A37-1)</f>
        <v/>
      </c>
      <c r="I37" s="4">
        <f>(C37+G37)/2*H37</f>
        <v/>
      </c>
      <c r="J37" s="4">
        <f>I37*Inputs!$B$8</f>
        <v/>
      </c>
      <c r="K37" s="4">
        <f>I37-J37</f>
        <v/>
      </c>
      <c r="L37" s="3">
        <f>MAX(0,MIN(1,Inputs!$B$9+Inputs!$B$15))</f>
        <v/>
      </c>
      <c r="M37" s="4">
        <f>K37*L37</f>
        <v/>
      </c>
      <c r="N37" s="4">
        <f>K37*Inputs!$B$10</f>
        <v/>
      </c>
      <c r="O37" s="4">
        <f>M37-N37</f>
        <v/>
      </c>
      <c r="P37" s="4">
        <f>Inputs!$B$11</f>
        <v/>
      </c>
      <c r="Q37" s="4">
        <f>Inputs!$B$12</f>
        <v/>
      </c>
      <c r="R37" s="4">
        <f>O37-P37-Q37</f>
        <v/>
      </c>
      <c r="S37" s="4">
        <f>K37*Inputs!$B$13*(Inputs!$B$14-Inputs!$B$10)</f>
        <v/>
      </c>
      <c r="T37" s="4">
        <f>O37-S37</f>
        <v/>
      </c>
      <c r="U37" s="3">
        <f>IF(Q37=0,"",(T37-Q37)/Q37)</f>
        <v/>
      </c>
      <c r="V37" s="3">
        <f>L37-L36</f>
        <v/>
      </c>
      <c r="W37">
        <f>IF(Inputs!$B$21&lt;&gt;1,"DATA BLOCKED",IF(C37&lt;Inputs!$B$22,"INSUFFICIENT COHORT",IF(OR(D37&gt;Inputs!$B$19,V37&lt;-Inputs!$B$20),"REVIEW","OK")))</f>
        <v/>
      </c>
    </row>
  </sheetData>
  <autoFilter ref="A1:W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Model</t>
        </is>
      </c>
      <c r="B1" s="1" t="inlineStr">
        <is>
          <t>Year</t>
        </is>
      </c>
      <c r="C1" s="1" t="inlineStr">
        <is>
          <t>Gross GMV</t>
        </is>
      </c>
      <c r="D1" s="1" t="inlineStr">
        <is>
          <t>Net GMV</t>
        </is>
      </c>
      <c r="E1" s="1" t="inlineStr">
        <is>
          <t>Net fees</t>
        </is>
      </c>
      <c r="F1" s="1" t="inlineStr">
        <is>
          <t>Contribution</t>
        </is>
      </c>
      <c r="G1" s="1" t="inlineStr">
        <is>
          <t>Program spend</t>
        </is>
      </c>
      <c r="H1" s="1" t="inlineStr">
        <is>
          <t>Net operating contribution</t>
        </is>
      </c>
      <c r="I1" s="1" t="inlineStr">
        <is>
          <t>Program ROI</t>
        </is>
      </c>
      <c r="J1" s="1" t="inlineStr">
        <is>
          <t>Revenue change vs base</t>
        </is>
      </c>
    </row>
    <row r="2">
      <c r="A2" t="inlineStr">
        <is>
          <t>Base</t>
        </is>
      </c>
      <c r="B2" t="n">
        <v>1</v>
      </c>
      <c r="C2">
        <f>SUM(Base!I2:I13)</f>
        <v/>
      </c>
      <c r="D2">
        <f>SUM(Base!K2:K13)</f>
        <v/>
      </c>
      <c r="E2">
        <f>SUM(Base!M2:M13)</f>
        <v/>
      </c>
      <c r="F2">
        <f>SUM(Base!O2:O13)</f>
        <v/>
      </c>
      <c r="G2">
        <f>SUM(Base!Q2:Q13)</f>
        <v/>
      </c>
      <c r="H2">
        <f>SUM(Base!R2:R13)</f>
        <v/>
      </c>
      <c r="I2" s="3">
        <f>IF(G2=0,"",(SUM(Base!T2:T13)-G2)/G2)</f>
        <v/>
      </c>
      <c r="J2">
        <f>E2-SUM(Base!M2:M13)</f>
        <v/>
      </c>
    </row>
    <row r="3">
      <c r="A3" t="inlineStr">
        <is>
          <t>Base</t>
        </is>
      </c>
      <c r="B3" t="n">
        <v>2</v>
      </c>
      <c r="C3">
        <f>SUM(Base!I14:I25)</f>
        <v/>
      </c>
      <c r="D3">
        <f>SUM(Base!K14:K25)</f>
        <v/>
      </c>
      <c r="E3">
        <f>SUM(Base!M14:M25)</f>
        <v/>
      </c>
      <c r="F3">
        <f>SUM(Base!O14:O25)</f>
        <v/>
      </c>
      <c r="G3">
        <f>SUM(Base!Q14:Q25)</f>
        <v/>
      </c>
      <c r="H3">
        <f>SUM(Base!R14:R25)</f>
        <v/>
      </c>
      <c r="I3" s="3">
        <f>IF(G3=0,"",(SUM(Base!T14:T25)-G3)/G3)</f>
        <v/>
      </c>
      <c r="J3">
        <f>E3-SUM(Base!M14:M25)</f>
        <v/>
      </c>
    </row>
    <row r="4">
      <c r="A4" t="inlineStr">
        <is>
          <t>Base</t>
        </is>
      </c>
      <c r="B4" t="n">
        <v>3</v>
      </c>
      <c r="C4">
        <f>SUM(Base!I26:I37)</f>
        <v/>
      </c>
      <c r="D4">
        <f>SUM(Base!K26:K37)</f>
        <v/>
      </c>
      <c r="E4">
        <f>SUM(Base!M26:M37)</f>
        <v/>
      </c>
      <c r="F4">
        <f>SUM(Base!O26:O37)</f>
        <v/>
      </c>
      <c r="G4">
        <f>SUM(Base!Q26:Q37)</f>
        <v/>
      </c>
      <c r="H4">
        <f>SUM(Base!R26:R37)</f>
        <v/>
      </c>
      <c r="I4" s="3">
        <f>IF(G4=0,"",(SUM(Base!T26:T37)-G4)/G4)</f>
        <v/>
      </c>
      <c r="J4">
        <f>E4-SUM(Base!M26:M37)</f>
        <v/>
      </c>
    </row>
    <row r="5">
      <c r="A5" t="inlineStr">
        <is>
          <t>Scenario</t>
        </is>
      </c>
      <c r="B5" t="n">
        <v>1</v>
      </c>
      <c r="C5">
        <f>SUM(Scenario!I2:I13)</f>
        <v/>
      </c>
      <c r="D5">
        <f>SUM(Scenario!K2:K13)</f>
        <v/>
      </c>
      <c r="E5">
        <f>SUM(Scenario!M2:M13)</f>
        <v/>
      </c>
      <c r="F5">
        <f>SUM(Scenario!O2:O13)</f>
        <v/>
      </c>
      <c r="G5">
        <f>SUM(Scenario!Q2:Q13)</f>
        <v/>
      </c>
      <c r="H5">
        <f>SUM(Scenario!R2:R13)</f>
        <v/>
      </c>
      <c r="I5" s="3">
        <f>IF(G5=0,"",(SUM(Scenario!T2:T13)-G5)/G5)</f>
        <v/>
      </c>
      <c r="J5">
        <f>E5-SUM(Base!M2:M13)</f>
        <v/>
      </c>
    </row>
    <row r="6">
      <c r="A6" t="inlineStr">
        <is>
          <t>Scenario</t>
        </is>
      </c>
      <c r="B6" t="n">
        <v>2</v>
      </c>
      <c r="C6">
        <f>SUM(Scenario!I14:I25)</f>
        <v/>
      </c>
      <c r="D6">
        <f>SUM(Scenario!K14:K25)</f>
        <v/>
      </c>
      <c r="E6">
        <f>SUM(Scenario!M14:M25)</f>
        <v/>
      </c>
      <c r="F6">
        <f>SUM(Scenario!O14:O25)</f>
        <v/>
      </c>
      <c r="G6">
        <f>SUM(Scenario!Q14:Q25)</f>
        <v/>
      </c>
      <c r="H6">
        <f>SUM(Scenario!R14:R25)</f>
        <v/>
      </c>
      <c r="I6" s="3">
        <f>IF(G6=0,"",(SUM(Scenario!T14:T25)-G6)/G6)</f>
        <v/>
      </c>
      <c r="J6">
        <f>E6-SUM(Base!M14:M25)</f>
        <v/>
      </c>
    </row>
    <row r="7">
      <c r="A7" t="inlineStr">
        <is>
          <t>Scenario</t>
        </is>
      </c>
      <c r="B7" t="n">
        <v>3</v>
      </c>
      <c r="C7">
        <f>SUM(Scenario!I26:I37)</f>
        <v/>
      </c>
      <c r="D7">
        <f>SUM(Scenario!K26:K37)</f>
        <v/>
      </c>
      <c r="E7">
        <f>SUM(Scenario!M26:M37)</f>
        <v/>
      </c>
      <c r="F7">
        <f>SUM(Scenario!O26:O37)</f>
        <v/>
      </c>
      <c r="G7">
        <f>SUM(Scenario!Q26:Q37)</f>
        <v/>
      </c>
      <c r="H7">
        <f>SUM(Scenario!R26:R37)</f>
        <v/>
      </c>
      <c r="I7" s="3">
        <f>IF(G7=0,"",(SUM(Scenario!T26:T37)-G7)/G7)</f>
        <v/>
      </c>
      <c r="J7">
        <f>E7-SUM(Base!M26:M37)</f>
        <v/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Case</t>
        </is>
      </c>
      <c r="B1" s="1" t="inlineStr">
        <is>
          <t>Gross GMV</t>
        </is>
      </c>
      <c r="C1" s="1" t="inlineStr">
        <is>
          <t>Net GMV</t>
        </is>
      </c>
      <c r="D1" s="1" t="inlineStr">
        <is>
          <t>Net fees</t>
        </is>
      </c>
      <c r="E1" s="1" t="inlineStr">
        <is>
          <t>Contribution</t>
        </is>
      </c>
      <c r="F1" s="1" t="inlineStr">
        <is>
          <t>Basis</t>
        </is>
      </c>
    </row>
    <row r="2">
      <c r="A2" t="inlineStr">
        <is>
          <t>Downside</t>
        </is>
      </c>
      <c r="B2">
        <f>SUM(Base!I2:I4)*Inputs!$B$17</f>
        <v/>
      </c>
      <c r="C2">
        <f>SUM(Base!K2:K4)*Inputs!$B$17</f>
        <v/>
      </c>
      <c r="D2">
        <f>C2*Inputs!$B$9</f>
        <v/>
      </c>
      <c r="E2">
        <f>D2-C2*Inputs!$B$10</f>
        <v/>
      </c>
      <c r="F2" t="inlineStr">
        <is>
          <t>Driver scenario, not fitted forecast or statistical interval</t>
        </is>
      </c>
    </row>
    <row r="3">
      <c r="A3" t="inlineStr">
        <is>
          <t>Base</t>
        </is>
      </c>
      <c r="B3">
        <f>SUM(Base!I2:I4)*1</f>
        <v/>
      </c>
      <c r="C3">
        <f>SUM(Base!K2:K4)*1</f>
        <v/>
      </c>
      <c r="D3">
        <f>C3*Inputs!$B$9</f>
        <v/>
      </c>
      <c r="E3">
        <f>D3-C3*Inputs!$B$10</f>
        <v/>
      </c>
      <c r="F3" t="inlineStr">
        <is>
          <t>Driver scenario, not fitted forecast or statistical interval</t>
        </is>
      </c>
    </row>
    <row r="4">
      <c r="A4" t="inlineStr">
        <is>
          <t>Upside</t>
        </is>
      </c>
      <c r="B4">
        <f>SUM(Base!I2:I4)*Inputs!$B$18</f>
        <v/>
      </c>
      <c r="C4">
        <f>SUM(Base!K2:K4)*Inputs!$B$18</f>
        <v/>
      </c>
      <c r="D4">
        <f>C4*Inputs!$B$9</f>
        <v/>
      </c>
      <c r="E4">
        <f>D4-C4*Inputs!$B$10</f>
        <v/>
      </c>
      <c r="F4" t="inlineStr">
        <is>
          <t>Driver scenario, not fitted forecast or statistical interval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</cols>
  <sheetData>
    <row r="1">
      <c r="A1" s="1" t="inlineStr">
        <is>
          <t>Acquisition month</t>
        </is>
      </c>
      <c r="B1" s="1" t="inlineStr">
        <is>
          <t>Initial size</t>
        </is>
      </c>
      <c r="C1" s="1" t="inlineStr">
        <is>
          <t>Month 1</t>
        </is>
      </c>
      <c r="D1" s="1" t="inlineStr">
        <is>
          <t>Month 2</t>
        </is>
      </c>
      <c r="E1" s="1" t="inlineStr">
        <is>
          <t>Month 3</t>
        </is>
      </c>
      <c r="F1" s="1" t="inlineStr">
        <is>
          <t>Month 4</t>
        </is>
      </c>
      <c r="G1" s="1" t="inlineStr">
        <is>
          <t>Month 5</t>
        </is>
      </c>
      <c r="H1" s="1" t="inlineStr">
        <is>
          <t>Month 6</t>
        </is>
      </c>
      <c r="I1" s="1" t="inlineStr">
        <is>
          <t>Month 7</t>
        </is>
      </c>
      <c r="J1" s="1" t="inlineStr">
        <is>
          <t>Month 8</t>
        </is>
      </c>
      <c r="K1" s="1" t="inlineStr">
        <is>
          <t>Month 9</t>
        </is>
      </c>
      <c r="L1" s="1" t="inlineStr">
        <is>
          <t>Month 10</t>
        </is>
      </c>
      <c r="M1" s="1" t="inlineStr">
        <is>
          <t>Month 11</t>
        </is>
      </c>
      <c r="N1" s="1" t="inlineStr">
        <is>
          <t>Month 12</t>
        </is>
      </c>
      <c r="O1" s="1" t="inlineStr">
        <is>
          <t>Month 13</t>
        </is>
      </c>
      <c r="P1" s="1" t="inlineStr">
        <is>
          <t>Month 14</t>
        </is>
      </c>
      <c r="Q1" s="1" t="inlineStr">
        <is>
          <t>Month 15</t>
        </is>
      </c>
      <c r="R1" s="1" t="inlineStr">
        <is>
          <t>Month 16</t>
        </is>
      </c>
      <c r="S1" s="1" t="inlineStr">
        <is>
          <t>Month 17</t>
        </is>
      </c>
      <c r="T1" s="1" t="inlineStr">
        <is>
          <t>Month 18</t>
        </is>
      </c>
      <c r="U1" s="1" t="inlineStr">
        <is>
          <t>Month 19</t>
        </is>
      </c>
      <c r="V1" s="1" t="inlineStr">
        <is>
          <t>Month 20</t>
        </is>
      </c>
      <c r="W1" s="1" t="inlineStr">
        <is>
          <t>Month 21</t>
        </is>
      </c>
      <c r="X1" s="1" t="inlineStr">
        <is>
          <t>Month 22</t>
        </is>
      </c>
      <c r="Y1" s="1" t="inlineStr">
        <is>
          <t>Month 23</t>
        </is>
      </c>
      <c r="Z1" s="1" t="inlineStr">
        <is>
          <t>Month 24</t>
        </is>
      </c>
      <c r="AA1" s="1" t="inlineStr">
        <is>
          <t>Month 25</t>
        </is>
      </c>
      <c r="AB1" s="1" t="inlineStr">
        <is>
          <t>Month 26</t>
        </is>
      </c>
      <c r="AC1" s="1" t="inlineStr">
        <is>
          <t>Month 27</t>
        </is>
      </c>
      <c r="AD1" s="1" t="inlineStr">
        <is>
          <t>Month 28</t>
        </is>
      </c>
      <c r="AE1" s="1" t="inlineStr">
        <is>
          <t>Month 29</t>
        </is>
      </c>
      <c r="AF1" s="1" t="inlineStr">
        <is>
          <t>Month 30</t>
        </is>
      </c>
      <c r="AG1" s="1" t="inlineStr">
        <is>
          <t>Month 31</t>
        </is>
      </c>
      <c r="AH1" s="1" t="inlineStr">
        <is>
          <t>Month 32</t>
        </is>
      </c>
      <c r="AI1" s="1" t="inlineStr">
        <is>
          <t>Month 33</t>
        </is>
      </c>
      <c r="AJ1" s="1" t="inlineStr">
        <is>
          <t>Month 34</t>
        </is>
      </c>
      <c r="AK1" s="1" t="inlineStr">
        <is>
          <t>Month 35</t>
        </is>
      </c>
      <c r="AL1" s="1" t="inlineStr">
        <is>
          <t>Month 36</t>
        </is>
      </c>
    </row>
    <row r="2">
      <c r="A2" t="n">
        <v>0</v>
      </c>
      <c r="B2">
        <f>Inputs!$B$3</f>
        <v/>
      </c>
      <c r="C2">
        <f>$B2*(1-Inputs!$B$5)^1</f>
        <v/>
      </c>
      <c r="D2">
        <f>$B2*(1-Inputs!$B$5)^2</f>
        <v/>
      </c>
      <c r="E2">
        <f>$B2*(1-Inputs!$B$5)^3</f>
        <v/>
      </c>
      <c r="F2">
        <f>$B2*(1-Inputs!$B$5)^4</f>
        <v/>
      </c>
      <c r="G2">
        <f>$B2*(1-Inputs!$B$5)^5</f>
        <v/>
      </c>
      <c r="H2">
        <f>$B2*(1-Inputs!$B$5)^6</f>
        <v/>
      </c>
      <c r="I2">
        <f>$B2*(1-Inputs!$B$5)^7</f>
        <v/>
      </c>
      <c r="J2">
        <f>$B2*(1-Inputs!$B$5)^8</f>
        <v/>
      </c>
      <c r="K2">
        <f>$B2*(1-Inputs!$B$5)^9</f>
        <v/>
      </c>
      <c r="L2">
        <f>$B2*(1-Inputs!$B$5)^10</f>
        <v/>
      </c>
      <c r="M2">
        <f>$B2*(1-Inputs!$B$5)^11</f>
        <v/>
      </c>
      <c r="N2">
        <f>$B2*(1-Inputs!$B$5)^12</f>
        <v/>
      </c>
      <c r="O2">
        <f>$B2*(1-Inputs!$B$5)^13</f>
        <v/>
      </c>
      <c r="P2">
        <f>$B2*(1-Inputs!$B$5)^14</f>
        <v/>
      </c>
      <c r="Q2">
        <f>$B2*(1-Inputs!$B$5)^15</f>
        <v/>
      </c>
      <c r="R2">
        <f>$B2*(1-Inputs!$B$5)^16</f>
        <v/>
      </c>
      <c r="S2">
        <f>$B2*(1-Inputs!$B$5)^17</f>
        <v/>
      </c>
      <c r="T2">
        <f>$B2*(1-Inputs!$B$5)^18</f>
        <v/>
      </c>
      <c r="U2">
        <f>$B2*(1-Inputs!$B$5)^19</f>
        <v/>
      </c>
      <c r="V2">
        <f>$B2*(1-Inputs!$B$5)^20</f>
        <v/>
      </c>
      <c r="W2">
        <f>$B2*(1-Inputs!$B$5)^21</f>
        <v/>
      </c>
      <c r="X2">
        <f>$B2*(1-Inputs!$B$5)^22</f>
        <v/>
      </c>
      <c r="Y2">
        <f>$B2*(1-Inputs!$B$5)^23</f>
        <v/>
      </c>
      <c r="Z2">
        <f>$B2*(1-Inputs!$B$5)^24</f>
        <v/>
      </c>
      <c r="AA2">
        <f>$B2*(1-Inputs!$B$5)^25</f>
        <v/>
      </c>
      <c r="AB2">
        <f>$B2*(1-Inputs!$B$5)^26</f>
        <v/>
      </c>
      <c r="AC2">
        <f>$B2*(1-Inputs!$B$5)^27</f>
        <v/>
      </c>
      <c r="AD2">
        <f>$B2*(1-Inputs!$B$5)^28</f>
        <v/>
      </c>
      <c r="AE2">
        <f>$B2*(1-Inputs!$B$5)^29</f>
        <v/>
      </c>
      <c r="AF2">
        <f>$B2*(1-Inputs!$B$5)^30</f>
        <v/>
      </c>
      <c r="AG2">
        <f>$B2*(1-Inputs!$B$5)^31</f>
        <v/>
      </c>
      <c r="AH2">
        <f>$B2*(1-Inputs!$B$5)^32</f>
        <v/>
      </c>
      <c r="AI2">
        <f>$B2*(1-Inputs!$B$5)^33</f>
        <v/>
      </c>
      <c r="AJ2">
        <f>$B2*(1-Inputs!$B$5)^34</f>
        <v/>
      </c>
      <c r="AK2">
        <f>$B2*(1-Inputs!$B$5)^35</f>
        <v/>
      </c>
      <c r="AL2">
        <f>$B2*(1-Inputs!$B$5)^36</f>
        <v/>
      </c>
    </row>
    <row r="3">
      <c r="A3" t="n">
        <v>1</v>
      </c>
      <c r="B3">
        <f>Inputs!$B$4</f>
        <v/>
      </c>
      <c r="C3">
        <f>$B3*(1-Inputs!$B$5)^0</f>
        <v/>
      </c>
      <c r="D3">
        <f>$B3*(1-Inputs!$B$5)^1</f>
        <v/>
      </c>
      <c r="E3">
        <f>$B3*(1-Inputs!$B$5)^2</f>
        <v/>
      </c>
      <c r="F3">
        <f>$B3*(1-Inputs!$B$5)^3</f>
        <v/>
      </c>
      <c r="G3">
        <f>$B3*(1-Inputs!$B$5)^4</f>
        <v/>
      </c>
      <c r="H3">
        <f>$B3*(1-Inputs!$B$5)^5</f>
        <v/>
      </c>
      <c r="I3">
        <f>$B3*(1-Inputs!$B$5)^6</f>
        <v/>
      </c>
      <c r="J3">
        <f>$B3*(1-Inputs!$B$5)^7</f>
        <v/>
      </c>
      <c r="K3">
        <f>$B3*(1-Inputs!$B$5)^8</f>
        <v/>
      </c>
      <c r="L3">
        <f>$B3*(1-Inputs!$B$5)^9</f>
        <v/>
      </c>
      <c r="M3">
        <f>$B3*(1-Inputs!$B$5)^10</f>
        <v/>
      </c>
      <c r="N3">
        <f>$B3*(1-Inputs!$B$5)^11</f>
        <v/>
      </c>
      <c r="O3">
        <f>$B3*(1-Inputs!$B$5)^12</f>
        <v/>
      </c>
      <c r="P3">
        <f>$B3*(1-Inputs!$B$5)^13</f>
        <v/>
      </c>
      <c r="Q3">
        <f>$B3*(1-Inputs!$B$5)^14</f>
        <v/>
      </c>
      <c r="R3">
        <f>$B3*(1-Inputs!$B$5)^15</f>
        <v/>
      </c>
      <c r="S3">
        <f>$B3*(1-Inputs!$B$5)^16</f>
        <v/>
      </c>
      <c r="T3">
        <f>$B3*(1-Inputs!$B$5)^17</f>
        <v/>
      </c>
      <c r="U3">
        <f>$B3*(1-Inputs!$B$5)^18</f>
        <v/>
      </c>
      <c r="V3">
        <f>$B3*(1-Inputs!$B$5)^19</f>
        <v/>
      </c>
      <c r="W3">
        <f>$B3*(1-Inputs!$B$5)^20</f>
        <v/>
      </c>
      <c r="X3">
        <f>$B3*(1-Inputs!$B$5)^21</f>
        <v/>
      </c>
      <c r="Y3">
        <f>$B3*(1-Inputs!$B$5)^22</f>
        <v/>
      </c>
      <c r="Z3">
        <f>$B3*(1-Inputs!$B$5)^23</f>
        <v/>
      </c>
      <c r="AA3">
        <f>$B3*(1-Inputs!$B$5)^24</f>
        <v/>
      </c>
      <c r="AB3">
        <f>$B3*(1-Inputs!$B$5)^25</f>
        <v/>
      </c>
      <c r="AC3">
        <f>$B3*(1-Inputs!$B$5)^26</f>
        <v/>
      </c>
      <c r="AD3">
        <f>$B3*(1-Inputs!$B$5)^27</f>
        <v/>
      </c>
      <c r="AE3">
        <f>$B3*(1-Inputs!$B$5)^28</f>
        <v/>
      </c>
      <c r="AF3">
        <f>$B3*(1-Inputs!$B$5)^29</f>
        <v/>
      </c>
      <c r="AG3">
        <f>$B3*(1-Inputs!$B$5)^30</f>
        <v/>
      </c>
      <c r="AH3">
        <f>$B3*(1-Inputs!$B$5)^31</f>
        <v/>
      </c>
      <c r="AI3">
        <f>$B3*(1-Inputs!$B$5)^32</f>
        <v/>
      </c>
      <c r="AJ3">
        <f>$B3*(1-Inputs!$B$5)^33</f>
        <v/>
      </c>
      <c r="AK3">
        <f>$B3*(1-Inputs!$B$5)^34</f>
        <v/>
      </c>
      <c r="AL3">
        <f>$B3*(1-Inputs!$B$5)^35</f>
        <v/>
      </c>
    </row>
    <row r="4">
      <c r="A4" t="n">
        <v>2</v>
      </c>
      <c r="B4">
        <f>Inputs!$B$4</f>
        <v/>
      </c>
      <c r="C4">
        <f>0</f>
        <v/>
      </c>
      <c r="D4">
        <f>$B4*(1-Inputs!$B$5)^0</f>
        <v/>
      </c>
      <c r="E4">
        <f>$B4*(1-Inputs!$B$5)^1</f>
        <v/>
      </c>
      <c r="F4">
        <f>$B4*(1-Inputs!$B$5)^2</f>
        <v/>
      </c>
      <c r="G4">
        <f>$B4*(1-Inputs!$B$5)^3</f>
        <v/>
      </c>
      <c r="H4">
        <f>$B4*(1-Inputs!$B$5)^4</f>
        <v/>
      </c>
      <c r="I4">
        <f>$B4*(1-Inputs!$B$5)^5</f>
        <v/>
      </c>
      <c r="J4">
        <f>$B4*(1-Inputs!$B$5)^6</f>
        <v/>
      </c>
      <c r="K4">
        <f>$B4*(1-Inputs!$B$5)^7</f>
        <v/>
      </c>
      <c r="L4">
        <f>$B4*(1-Inputs!$B$5)^8</f>
        <v/>
      </c>
      <c r="M4">
        <f>$B4*(1-Inputs!$B$5)^9</f>
        <v/>
      </c>
      <c r="N4">
        <f>$B4*(1-Inputs!$B$5)^10</f>
        <v/>
      </c>
      <c r="O4">
        <f>$B4*(1-Inputs!$B$5)^11</f>
        <v/>
      </c>
      <c r="P4">
        <f>$B4*(1-Inputs!$B$5)^12</f>
        <v/>
      </c>
      <c r="Q4">
        <f>$B4*(1-Inputs!$B$5)^13</f>
        <v/>
      </c>
      <c r="R4">
        <f>$B4*(1-Inputs!$B$5)^14</f>
        <v/>
      </c>
      <c r="S4">
        <f>$B4*(1-Inputs!$B$5)^15</f>
        <v/>
      </c>
      <c r="T4">
        <f>$B4*(1-Inputs!$B$5)^16</f>
        <v/>
      </c>
      <c r="U4">
        <f>$B4*(1-Inputs!$B$5)^17</f>
        <v/>
      </c>
      <c r="V4">
        <f>$B4*(1-Inputs!$B$5)^18</f>
        <v/>
      </c>
      <c r="W4">
        <f>$B4*(1-Inputs!$B$5)^19</f>
        <v/>
      </c>
      <c r="X4">
        <f>$B4*(1-Inputs!$B$5)^20</f>
        <v/>
      </c>
      <c r="Y4">
        <f>$B4*(1-Inputs!$B$5)^21</f>
        <v/>
      </c>
      <c r="Z4">
        <f>$B4*(1-Inputs!$B$5)^22</f>
        <v/>
      </c>
      <c r="AA4">
        <f>$B4*(1-Inputs!$B$5)^23</f>
        <v/>
      </c>
      <c r="AB4">
        <f>$B4*(1-Inputs!$B$5)^24</f>
        <v/>
      </c>
      <c r="AC4">
        <f>$B4*(1-Inputs!$B$5)^25</f>
        <v/>
      </c>
      <c r="AD4">
        <f>$B4*(1-Inputs!$B$5)^26</f>
        <v/>
      </c>
      <c r="AE4">
        <f>$B4*(1-Inputs!$B$5)^27</f>
        <v/>
      </c>
      <c r="AF4">
        <f>$B4*(1-Inputs!$B$5)^28</f>
        <v/>
      </c>
      <c r="AG4">
        <f>$B4*(1-Inputs!$B$5)^29</f>
        <v/>
      </c>
      <c r="AH4">
        <f>$B4*(1-Inputs!$B$5)^30</f>
        <v/>
      </c>
      <c r="AI4">
        <f>$B4*(1-Inputs!$B$5)^31</f>
        <v/>
      </c>
      <c r="AJ4">
        <f>$B4*(1-Inputs!$B$5)^32</f>
        <v/>
      </c>
      <c r="AK4">
        <f>$B4*(1-Inputs!$B$5)^33</f>
        <v/>
      </c>
      <c r="AL4">
        <f>$B4*(1-Inputs!$B$5)^34</f>
        <v/>
      </c>
    </row>
    <row r="5">
      <c r="A5" t="n">
        <v>3</v>
      </c>
      <c r="B5">
        <f>Inputs!$B$4</f>
        <v/>
      </c>
      <c r="C5">
        <f>0</f>
        <v/>
      </c>
      <c r="D5">
        <f>0</f>
        <v/>
      </c>
      <c r="E5">
        <f>$B5*(1-Inputs!$B$5)^0</f>
        <v/>
      </c>
      <c r="F5">
        <f>$B5*(1-Inputs!$B$5)^1</f>
        <v/>
      </c>
      <c r="G5">
        <f>$B5*(1-Inputs!$B$5)^2</f>
        <v/>
      </c>
      <c r="H5">
        <f>$B5*(1-Inputs!$B$5)^3</f>
        <v/>
      </c>
      <c r="I5">
        <f>$B5*(1-Inputs!$B$5)^4</f>
        <v/>
      </c>
      <c r="J5">
        <f>$B5*(1-Inputs!$B$5)^5</f>
        <v/>
      </c>
      <c r="K5">
        <f>$B5*(1-Inputs!$B$5)^6</f>
        <v/>
      </c>
      <c r="L5">
        <f>$B5*(1-Inputs!$B$5)^7</f>
        <v/>
      </c>
      <c r="M5">
        <f>$B5*(1-Inputs!$B$5)^8</f>
        <v/>
      </c>
      <c r="N5">
        <f>$B5*(1-Inputs!$B$5)^9</f>
        <v/>
      </c>
      <c r="O5">
        <f>$B5*(1-Inputs!$B$5)^10</f>
        <v/>
      </c>
      <c r="P5">
        <f>$B5*(1-Inputs!$B$5)^11</f>
        <v/>
      </c>
      <c r="Q5">
        <f>$B5*(1-Inputs!$B$5)^12</f>
        <v/>
      </c>
      <c r="R5">
        <f>$B5*(1-Inputs!$B$5)^13</f>
        <v/>
      </c>
      <c r="S5">
        <f>$B5*(1-Inputs!$B$5)^14</f>
        <v/>
      </c>
      <c r="T5">
        <f>$B5*(1-Inputs!$B$5)^15</f>
        <v/>
      </c>
      <c r="U5">
        <f>$B5*(1-Inputs!$B$5)^16</f>
        <v/>
      </c>
      <c r="V5">
        <f>$B5*(1-Inputs!$B$5)^17</f>
        <v/>
      </c>
      <c r="W5">
        <f>$B5*(1-Inputs!$B$5)^18</f>
        <v/>
      </c>
      <c r="X5">
        <f>$B5*(1-Inputs!$B$5)^19</f>
        <v/>
      </c>
      <c r="Y5">
        <f>$B5*(1-Inputs!$B$5)^20</f>
        <v/>
      </c>
      <c r="Z5">
        <f>$B5*(1-Inputs!$B$5)^21</f>
        <v/>
      </c>
      <c r="AA5">
        <f>$B5*(1-Inputs!$B$5)^22</f>
        <v/>
      </c>
      <c r="AB5">
        <f>$B5*(1-Inputs!$B$5)^23</f>
        <v/>
      </c>
      <c r="AC5">
        <f>$B5*(1-Inputs!$B$5)^24</f>
        <v/>
      </c>
      <c r="AD5">
        <f>$B5*(1-Inputs!$B$5)^25</f>
        <v/>
      </c>
      <c r="AE5">
        <f>$B5*(1-Inputs!$B$5)^26</f>
        <v/>
      </c>
      <c r="AF5">
        <f>$B5*(1-Inputs!$B$5)^27</f>
        <v/>
      </c>
      <c r="AG5">
        <f>$B5*(1-Inputs!$B$5)^28</f>
        <v/>
      </c>
      <c r="AH5">
        <f>$B5*(1-Inputs!$B$5)^29</f>
        <v/>
      </c>
      <c r="AI5">
        <f>$B5*(1-Inputs!$B$5)^30</f>
        <v/>
      </c>
      <c r="AJ5">
        <f>$B5*(1-Inputs!$B$5)^31</f>
        <v/>
      </c>
      <c r="AK5">
        <f>$B5*(1-Inputs!$B$5)^32</f>
        <v/>
      </c>
      <c r="AL5">
        <f>$B5*(1-Inputs!$B$5)^33</f>
        <v/>
      </c>
    </row>
    <row r="6">
      <c r="A6" t="n">
        <v>4</v>
      </c>
      <c r="B6">
        <f>Inputs!$B$4</f>
        <v/>
      </c>
      <c r="C6">
        <f>0</f>
        <v/>
      </c>
      <c r="D6">
        <f>0</f>
        <v/>
      </c>
      <c r="E6">
        <f>0</f>
        <v/>
      </c>
      <c r="F6">
        <f>$B6*(1-Inputs!$B$5)^0</f>
        <v/>
      </c>
      <c r="G6">
        <f>$B6*(1-Inputs!$B$5)^1</f>
        <v/>
      </c>
      <c r="H6">
        <f>$B6*(1-Inputs!$B$5)^2</f>
        <v/>
      </c>
      <c r="I6">
        <f>$B6*(1-Inputs!$B$5)^3</f>
        <v/>
      </c>
      <c r="J6">
        <f>$B6*(1-Inputs!$B$5)^4</f>
        <v/>
      </c>
      <c r="K6">
        <f>$B6*(1-Inputs!$B$5)^5</f>
        <v/>
      </c>
      <c r="L6">
        <f>$B6*(1-Inputs!$B$5)^6</f>
        <v/>
      </c>
      <c r="M6">
        <f>$B6*(1-Inputs!$B$5)^7</f>
        <v/>
      </c>
      <c r="N6">
        <f>$B6*(1-Inputs!$B$5)^8</f>
        <v/>
      </c>
      <c r="O6">
        <f>$B6*(1-Inputs!$B$5)^9</f>
        <v/>
      </c>
      <c r="P6">
        <f>$B6*(1-Inputs!$B$5)^10</f>
        <v/>
      </c>
      <c r="Q6">
        <f>$B6*(1-Inputs!$B$5)^11</f>
        <v/>
      </c>
      <c r="R6">
        <f>$B6*(1-Inputs!$B$5)^12</f>
        <v/>
      </c>
      <c r="S6">
        <f>$B6*(1-Inputs!$B$5)^13</f>
        <v/>
      </c>
      <c r="T6">
        <f>$B6*(1-Inputs!$B$5)^14</f>
        <v/>
      </c>
      <c r="U6">
        <f>$B6*(1-Inputs!$B$5)^15</f>
        <v/>
      </c>
      <c r="V6">
        <f>$B6*(1-Inputs!$B$5)^16</f>
        <v/>
      </c>
      <c r="W6">
        <f>$B6*(1-Inputs!$B$5)^17</f>
        <v/>
      </c>
      <c r="X6">
        <f>$B6*(1-Inputs!$B$5)^18</f>
        <v/>
      </c>
      <c r="Y6">
        <f>$B6*(1-Inputs!$B$5)^19</f>
        <v/>
      </c>
      <c r="Z6">
        <f>$B6*(1-Inputs!$B$5)^20</f>
        <v/>
      </c>
      <c r="AA6">
        <f>$B6*(1-Inputs!$B$5)^21</f>
        <v/>
      </c>
      <c r="AB6">
        <f>$B6*(1-Inputs!$B$5)^22</f>
        <v/>
      </c>
      <c r="AC6">
        <f>$B6*(1-Inputs!$B$5)^23</f>
        <v/>
      </c>
      <c r="AD6">
        <f>$B6*(1-Inputs!$B$5)^24</f>
        <v/>
      </c>
      <c r="AE6">
        <f>$B6*(1-Inputs!$B$5)^25</f>
        <v/>
      </c>
      <c r="AF6">
        <f>$B6*(1-Inputs!$B$5)^26</f>
        <v/>
      </c>
      <c r="AG6">
        <f>$B6*(1-Inputs!$B$5)^27</f>
        <v/>
      </c>
      <c r="AH6">
        <f>$B6*(1-Inputs!$B$5)^28</f>
        <v/>
      </c>
      <c r="AI6">
        <f>$B6*(1-Inputs!$B$5)^29</f>
        <v/>
      </c>
      <c r="AJ6">
        <f>$B6*(1-Inputs!$B$5)^30</f>
        <v/>
      </c>
      <c r="AK6">
        <f>$B6*(1-Inputs!$B$5)^31</f>
        <v/>
      </c>
      <c r="AL6">
        <f>$B6*(1-Inputs!$B$5)^32</f>
        <v/>
      </c>
    </row>
    <row r="7">
      <c r="A7" t="n">
        <v>5</v>
      </c>
      <c r="B7">
        <f>Inputs!$B$4</f>
        <v/>
      </c>
      <c r="C7">
        <f>0</f>
        <v/>
      </c>
      <c r="D7">
        <f>0</f>
        <v/>
      </c>
      <c r="E7">
        <f>0</f>
        <v/>
      </c>
      <c r="F7">
        <f>0</f>
        <v/>
      </c>
      <c r="G7">
        <f>$B7*(1-Inputs!$B$5)^0</f>
        <v/>
      </c>
      <c r="H7">
        <f>$B7*(1-Inputs!$B$5)^1</f>
        <v/>
      </c>
      <c r="I7">
        <f>$B7*(1-Inputs!$B$5)^2</f>
        <v/>
      </c>
      <c r="J7">
        <f>$B7*(1-Inputs!$B$5)^3</f>
        <v/>
      </c>
      <c r="K7">
        <f>$B7*(1-Inputs!$B$5)^4</f>
        <v/>
      </c>
      <c r="L7">
        <f>$B7*(1-Inputs!$B$5)^5</f>
        <v/>
      </c>
      <c r="M7">
        <f>$B7*(1-Inputs!$B$5)^6</f>
        <v/>
      </c>
      <c r="N7">
        <f>$B7*(1-Inputs!$B$5)^7</f>
        <v/>
      </c>
      <c r="O7">
        <f>$B7*(1-Inputs!$B$5)^8</f>
        <v/>
      </c>
      <c r="P7">
        <f>$B7*(1-Inputs!$B$5)^9</f>
        <v/>
      </c>
      <c r="Q7">
        <f>$B7*(1-Inputs!$B$5)^10</f>
        <v/>
      </c>
      <c r="R7">
        <f>$B7*(1-Inputs!$B$5)^11</f>
        <v/>
      </c>
      <c r="S7">
        <f>$B7*(1-Inputs!$B$5)^12</f>
        <v/>
      </c>
      <c r="T7">
        <f>$B7*(1-Inputs!$B$5)^13</f>
        <v/>
      </c>
      <c r="U7">
        <f>$B7*(1-Inputs!$B$5)^14</f>
        <v/>
      </c>
      <c r="V7">
        <f>$B7*(1-Inputs!$B$5)^15</f>
        <v/>
      </c>
      <c r="W7">
        <f>$B7*(1-Inputs!$B$5)^16</f>
        <v/>
      </c>
      <c r="X7">
        <f>$B7*(1-Inputs!$B$5)^17</f>
        <v/>
      </c>
      <c r="Y7">
        <f>$B7*(1-Inputs!$B$5)^18</f>
        <v/>
      </c>
      <c r="Z7">
        <f>$B7*(1-Inputs!$B$5)^19</f>
        <v/>
      </c>
      <c r="AA7">
        <f>$B7*(1-Inputs!$B$5)^20</f>
        <v/>
      </c>
      <c r="AB7">
        <f>$B7*(1-Inputs!$B$5)^21</f>
        <v/>
      </c>
      <c r="AC7">
        <f>$B7*(1-Inputs!$B$5)^22</f>
        <v/>
      </c>
      <c r="AD7">
        <f>$B7*(1-Inputs!$B$5)^23</f>
        <v/>
      </c>
      <c r="AE7">
        <f>$B7*(1-Inputs!$B$5)^24</f>
        <v/>
      </c>
      <c r="AF7">
        <f>$B7*(1-Inputs!$B$5)^25</f>
        <v/>
      </c>
      <c r="AG7">
        <f>$B7*(1-Inputs!$B$5)^26</f>
        <v/>
      </c>
      <c r="AH7">
        <f>$B7*(1-Inputs!$B$5)^27</f>
        <v/>
      </c>
      <c r="AI7">
        <f>$B7*(1-Inputs!$B$5)^28</f>
        <v/>
      </c>
      <c r="AJ7">
        <f>$B7*(1-Inputs!$B$5)^29</f>
        <v/>
      </c>
      <c r="AK7">
        <f>$B7*(1-Inputs!$B$5)^30</f>
        <v/>
      </c>
      <c r="AL7">
        <f>$B7*(1-Inputs!$B$5)^31</f>
        <v/>
      </c>
    </row>
    <row r="8">
      <c r="A8" t="n">
        <v>6</v>
      </c>
      <c r="B8">
        <f>Inputs!$B$4</f>
        <v/>
      </c>
      <c r="C8">
        <f>0</f>
        <v/>
      </c>
      <c r="D8">
        <f>0</f>
        <v/>
      </c>
      <c r="E8">
        <f>0</f>
        <v/>
      </c>
      <c r="F8">
        <f>0</f>
        <v/>
      </c>
      <c r="G8">
        <f>0</f>
        <v/>
      </c>
      <c r="H8">
        <f>$B8*(1-Inputs!$B$5)^0</f>
        <v/>
      </c>
      <c r="I8">
        <f>$B8*(1-Inputs!$B$5)^1</f>
        <v/>
      </c>
      <c r="J8">
        <f>$B8*(1-Inputs!$B$5)^2</f>
        <v/>
      </c>
      <c r="K8">
        <f>$B8*(1-Inputs!$B$5)^3</f>
        <v/>
      </c>
      <c r="L8">
        <f>$B8*(1-Inputs!$B$5)^4</f>
        <v/>
      </c>
      <c r="M8">
        <f>$B8*(1-Inputs!$B$5)^5</f>
        <v/>
      </c>
      <c r="N8">
        <f>$B8*(1-Inputs!$B$5)^6</f>
        <v/>
      </c>
      <c r="O8">
        <f>$B8*(1-Inputs!$B$5)^7</f>
        <v/>
      </c>
      <c r="P8">
        <f>$B8*(1-Inputs!$B$5)^8</f>
        <v/>
      </c>
      <c r="Q8">
        <f>$B8*(1-Inputs!$B$5)^9</f>
        <v/>
      </c>
      <c r="R8">
        <f>$B8*(1-Inputs!$B$5)^10</f>
        <v/>
      </c>
      <c r="S8">
        <f>$B8*(1-Inputs!$B$5)^11</f>
        <v/>
      </c>
      <c r="T8">
        <f>$B8*(1-Inputs!$B$5)^12</f>
        <v/>
      </c>
      <c r="U8">
        <f>$B8*(1-Inputs!$B$5)^13</f>
        <v/>
      </c>
      <c r="V8">
        <f>$B8*(1-Inputs!$B$5)^14</f>
        <v/>
      </c>
      <c r="W8">
        <f>$B8*(1-Inputs!$B$5)^15</f>
        <v/>
      </c>
      <c r="X8">
        <f>$B8*(1-Inputs!$B$5)^16</f>
        <v/>
      </c>
      <c r="Y8">
        <f>$B8*(1-Inputs!$B$5)^17</f>
        <v/>
      </c>
      <c r="Z8">
        <f>$B8*(1-Inputs!$B$5)^18</f>
        <v/>
      </c>
      <c r="AA8">
        <f>$B8*(1-Inputs!$B$5)^19</f>
        <v/>
      </c>
      <c r="AB8">
        <f>$B8*(1-Inputs!$B$5)^20</f>
        <v/>
      </c>
      <c r="AC8">
        <f>$B8*(1-Inputs!$B$5)^21</f>
        <v/>
      </c>
      <c r="AD8">
        <f>$B8*(1-Inputs!$B$5)^22</f>
        <v/>
      </c>
      <c r="AE8">
        <f>$B8*(1-Inputs!$B$5)^23</f>
        <v/>
      </c>
      <c r="AF8">
        <f>$B8*(1-Inputs!$B$5)^24</f>
        <v/>
      </c>
      <c r="AG8">
        <f>$B8*(1-Inputs!$B$5)^25</f>
        <v/>
      </c>
      <c r="AH8">
        <f>$B8*(1-Inputs!$B$5)^26</f>
        <v/>
      </c>
      <c r="AI8">
        <f>$B8*(1-Inputs!$B$5)^27</f>
        <v/>
      </c>
      <c r="AJ8">
        <f>$B8*(1-Inputs!$B$5)^28</f>
        <v/>
      </c>
      <c r="AK8">
        <f>$B8*(1-Inputs!$B$5)^29</f>
        <v/>
      </c>
      <c r="AL8">
        <f>$B8*(1-Inputs!$B$5)^30</f>
        <v/>
      </c>
    </row>
    <row r="9">
      <c r="A9" t="n">
        <v>7</v>
      </c>
      <c r="B9">
        <f>Inputs!$B$4</f>
        <v/>
      </c>
      <c r="C9">
        <f>0</f>
        <v/>
      </c>
      <c r="D9">
        <f>0</f>
        <v/>
      </c>
      <c r="E9">
        <f>0</f>
        <v/>
      </c>
      <c r="F9">
        <f>0</f>
        <v/>
      </c>
      <c r="G9">
        <f>0</f>
        <v/>
      </c>
      <c r="H9">
        <f>0</f>
        <v/>
      </c>
      <c r="I9">
        <f>$B9*(1-Inputs!$B$5)^0</f>
        <v/>
      </c>
      <c r="J9">
        <f>$B9*(1-Inputs!$B$5)^1</f>
        <v/>
      </c>
      <c r="K9">
        <f>$B9*(1-Inputs!$B$5)^2</f>
        <v/>
      </c>
      <c r="L9">
        <f>$B9*(1-Inputs!$B$5)^3</f>
        <v/>
      </c>
      <c r="M9">
        <f>$B9*(1-Inputs!$B$5)^4</f>
        <v/>
      </c>
      <c r="N9">
        <f>$B9*(1-Inputs!$B$5)^5</f>
        <v/>
      </c>
      <c r="O9">
        <f>$B9*(1-Inputs!$B$5)^6</f>
        <v/>
      </c>
      <c r="P9">
        <f>$B9*(1-Inputs!$B$5)^7</f>
        <v/>
      </c>
      <c r="Q9">
        <f>$B9*(1-Inputs!$B$5)^8</f>
        <v/>
      </c>
      <c r="R9">
        <f>$B9*(1-Inputs!$B$5)^9</f>
        <v/>
      </c>
      <c r="S9">
        <f>$B9*(1-Inputs!$B$5)^10</f>
        <v/>
      </c>
      <c r="T9">
        <f>$B9*(1-Inputs!$B$5)^11</f>
        <v/>
      </c>
      <c r="U9">
        <f>$B9*(1-Inputs!$B$5)^12</f>
        <v/>
      </c>
      <c r="V9">
        <f>$B9*(1-Inputs!$B$5)^13</f>
        <v/>
      </c>
      <c r="W9">
        <f>$B9*(1-Inputs!$B$5)^14</f>
        <v/>
      </c>
      <c r="X9">
        <f>$B9*(1-Inputs!$B$5)^15</f>
        <v/>
      </c>
      <c r="Y9">
        <f>$B9*(1-Inputs!$B$5)^16</f>
        <v/>
      </c>
      <c r="Z9">
        <f>$B9*(1-Inputs!$B$5)^17</f>
        <v/>
      </c>
      <c r="AA9">
        <f>$B9*(1-Inputs!$B$5)^18</f>
        <v/>
      </c>
      <c r="AB9">
        <f>$B9*(1-Inputs!$B$5)^19</f>
        <v/>
      </c>
      <c r="AC9">
        <f>$B9*(1-Inputs!$B$5)^20</f>
        <v/>
      </c>
      <c r="AD9">
        <f>$B9*(1-Inputs!$B$5)^21</f>
        <v/>
      </c>
      <c r="AE9">
        <f>$B9*(1-Inputs!$B$5)^22</f>
        <v/>
      </c>
      <c r="AF9">
        <f>$B9*(1-Inputs!$B$5)^23</f>
        <v/>
      </c>
      <c r="AG9">
        <f>$B9*(1-Inputs!$B$5)^24</f>
        <v/>
      </c>
      <c r="AH9">
        <f>$B9*(1-Inputs!$B$5)^25</f>
        <v/>
      </c>
      <c r="AI9">
        <f>$B9*(1-Inputs!$B$5)^26</f>
        <v/>
      </c>
      <c r="AJ9">
        <f>$B9*(1-Inputs!$B$5)^27</f>
        <v/>
      </c>
      <c r="AK9">
        <f>$B9*(1-Inputs!$B$5)^28</f>
        <v/>
      </c>
      <c r="AL9">
        <f>$B9*(1-Inputs!$B$5)^29</f>
        <v/>
      </c>
    </row>
    <row r="10">
      <c r="A10" t="n">
        <v>8</v>
      </c>
      <c r="B10">
        <f>Inputs!$B$4</f>
        <v/>
      </c>
      <c r="C10">
        <f>0</f>
        <v/>
      </c>
      <c r="D10">
        <f>0</f>
        <v/>
      </c>
      <c r="E10">
        <f>0</f>
        <v/>
      </c>
      <c r="F10">
        <f>0</f>
        <v/>
      </c>
      <c r="G10">
        <f>0</f>
        <v/>
      </c>
      <c r="H10">
        <f>0</f>
        <v/>
      </c>
      <c r="I10">
        <f>0</f>
        <v/>
      </c>
      <c r="J10">
        <f>$B10*(1-Inputs!$B$5)^0</f>
        <v/>
      </c>
      <c r="K10">
        <f>$B10*(1-Inputs!$B$5)^1</f>
        <v/>
      </c>
      <c r="L10">
        <f>$B10*(1-Inputs!$B$5)^2</f>
        <v/>
      </c>
      <c r="M10">
        <f>$B10*(1-Inputs!$B$5)^3</f>
        <v/>
      </c>
      <c r="N10">
        <f>$B10*(1-Inputs!$B$5)^4</f>
        <v/>
      </c>
      <c r="O10">
        <f>$B10*(1-Inputs!$B$5)^5</f>
        <v/>
      </c>
      <c r="P10">
        <f>$B10*(1-Inputs!$B$5)^6</f>
        <v/>
      </c>
      <c r="Q10">
        <f>$B10*(1-Inputs!$B$5)^7</f>
        <v/>
      </c>
      <c r="R10">
        <f>$B10*(1-Inputs!$B$5)^8</f>
        <v/>
      </c>
      <c r="S10">
        <f>$B10*(1-Inputs!$B$5)^9</f>
        <v/>
      </c>
      <c r="T10">
        <f>$B10*(1-Inputs!$B$5)^10</f>
        <v/>
      </c>
      <c r="U10">
        <f>$B10*(1-Inputs!$B$5)^11</f>
        <v/>
      </c>
      <c r="V10">
        <f>$B10*(1-Inputs!$B$5)^12</f>
        <v/>
      </c>
      <c r="W10">
        <f>$B10*(1-Inputs!$B$5)^13</f>
        <v/>
      </c>
      <c r="X10">
        <f>$B10*(1-Inputs!$B$5)^14</f>
        <v/>
      </c>
      <c r="Y10">
        <f>$B10*(1-Inputs!$B$5)^15</f>
        <v/>
      </c>
      <c r="Z10">
        <f>$B10*(1-Inputs!$B$5)^16</f>
        <v/>
      </c>
      <c r="AA10">
        <f>$B10*(1-Inputs!$B$5)^17</f>
        <v/>
      </c>
      <c r="AB10">
        <f>$B10*(1-Inputs!$B$5)^18</f>
        <v/>
      </c>
      <c r="AC10">
        <f>$B10*(1-Inputs!$B$5)^19</f>
        <v/>
      </c>
      <c r="AD10">
        <f>$B10*(1-Inputs!$B$5)^20</f>
        <v/>
      </c>
      <c r="AE10">
        <f>$B10*(1-Inputs!$B$5)^21</f>
        <v/>
      </c>
      <c r="AF10">
        <f>$B10*(1-Inputs!$B$5)^22</f>
        <v/>
      </c>
      <c r="AG10">
        <f>$B10*(1-Inputs!$B$5)^23</f>
        <v/>
      </c>
      <c r="AH10">
        <f>$B10*(1-Inputs!$B$5)^24</f>
        <v/>
      </c>
      <c r="AI10">
        <f>$B10*(1-Inputs!$B$5)^25</f>
        <v/>
      </c>
      <c r="AJ10">
        <f>$B10*(1-Inputs!$B$5)^26</f>
        <v/>
      </c>
      <c r="AK10">
        <f>$B10*(1-Inputs!$B$5)^27</f>
        <v/>
      </c>
      <c r="AL10">
        <f>$B10*(1-Inputs!$B$5)^28</f>
        <v/>
      </c>
    </row>
    <row r="11">
      <c r="A11" t="n">
        <v>9</v>
      </c>
      <c r="B11">
        <f>Inputs!$B$4</f>
        <v/>
      </c>
      <c r="C11">
        <f>0</f>
        <v/>
      </c>
      <c r="D11">
        <f>0</f>
        <v/>
      </c>
      <c r="E11">
        <f>0</f>
        <v/>
      </c>
      <c r="F11">
        <f>0</f>
        <v/>
      </c>
      <c r="G11">
        <f>0</f>
        <v/>
      </c>
      <c r="H11">
        <f>0</f>
        <v/>
      </c>
      <c r="I11">
        <f>0</f>
        <v/>
      </c>
      <c r="J11">
        <f>0</f>
        <v/>
      </c>
      <c r="K11">
        <f>$B11*(1-Inputs!$B$5)^0</f>
        <v/>
      </c>
      <c r="L11">
        <f>$B11*(1-Inputs!$B$5)^1</f>
        <v/>
      </c>
      <c r="M11">
        <f>$B11*(1-Inputs!$B$5)^2</f>
        <v/>
      </c>
      <c r="N11">
        <f>$B11*(1-Inputs!$B$5)^3</f>
        <v/>
      </c>
      <c r="O11">
        <f>$B11*(1-Inputs!$B$5)^4</f>
        <v/>
      </c>
      <c r="P11">
        <f>$B11*(1-Inputs!$B$5)^5</f>
        <v/>
      </c>
      <c r="Q11">
        <f>$B11*(1-Inputs!$B$5)^6</f>
        <v/>
      </c>
      <c r="R11">
        <f>$B11*(1-Inputs!$B$5)^7</f>
        <v/>
      </c>
      <c r="S11">
        <f>$B11*(1-Inputs!$B$5)^8</f>
        <v/>
      </c>
      <c r="T11">
        <f>$B11*(1-Inputs!$B$5)^9</f>
        <v/>
      </c>
      <c r="U11">
        <f>$B11*(1-Inputs!$B$5)^10</f>
        <v/>
      </c>
      <c r="V11">
        <f>$B11*(1-Inputs!$B$5)^11</f>
        <v/>
      </c>
      <c r="W11">
        <f>$B11*(1-Inputs!$B$5)^12</f>
        <v/>
      </c>
      <c r="X11">
        <f>$B11*(1-Inputs!$B$5)^13</f>
        <v/>
      </c>
      <c r="Y11">
        <f>$B11*(1-Inputs!$B$5)^14</f>
        <v/>
      </c>
      <c r="Z11">
        <f>$B11*(1-Inputs!$B$5)^15</f>
        <v/>
      </c>
      <c r="AA11">
        <f>$B11*(1-Inputs!$B$5)^16</f>
        <v/>
      </c>
      <c r="AB11">
        <f>$B11*(1-Inputs!$B$5)^17</f>
        <v/>
      </c>
      <c r="AC11">
        <f>$B11*(1-Inputs!$B$5)^18</f>
        <v/>
      </c>
      <c r="AD11">
        <f>$B11*(1-Inputs!$B$5)^19</f>
        <v/>
      </c>
      <c r="AE11">
        <f>$B11*(1-Inputs!$B$5)^20</f>
        <v/>
      </c>
      <c r="AF11">
        <f>$B11*(1-Inputs!$B$5)^21</f>
        <v/>
      </c>
      <c r="AG11">
        <f>$B11*(1-Inputs!$B$5)^22</f>
        <v/>
      </c>
      <c r="AH11">
        <f>$B11*(1-Inputs!$B$5)^23</f>
        <v/>
      </c>
      <c r="AI11">
        <f>$B11*(1-Inputs!$B$5)^24</f>
        <v/>
      </c>
      <c r="AJ11">
        <f>$B11*(1-Inputs!$B$5)^25</f>
        <v/>
      </c>
      <c r="AK11">
        <f>$B11*(1-Inputs!$B$5)^26</f>
        <v/>
      </c>
      <c r="AL11">
        <f>$B11*(1-Inputs!$B$5)^27</f>
        <v/>
      </c>
    </row>
    <row r="12">
      <c r="A12" t="n">
        <v>10</v>
      </c>
      <c r="B12">
        <f>Inputs!$B$4</f>
        <v/>
      </c>
      <c r="C12">
        <f>0</f>
        <v/>
      </c>
      <c r="D12">
        <f>0</f>
        <v/>
      </c>
      <c r="E12">
        <f>0</f>
        <v/>
      </c>
      <c r="F12">
        <f>0</f>
        <v/>
      </c>
      <c r="G12">
        <f>0</f>
        <v/>
      </c>
      <c r="H12">
        <f>0</f>
        <v/>
      </c>
      <c r="I12">
        <f>0</f>
        <v/>
      </c>
      <c r="J12">
        <f>0</f>
        <v/>
      </c>
      <c r="K12">
        <f>0</f>
        <v/>
      </c>
      <c r="L12">
        <f>$B12*(1-Inputs!$B$5)^0</f>
        <v/>
      </c>
      <c r="M12">
        <f>$B12*(1-Inputs!$B$5)^1</f>
        <v/>
      </c>
      <c r="N12">
        <f>$B12*(1-Inputs!$B$5)^2</f>
        <v/>
      </c>
      <c r="O12">
        <f>$B12*(1-Inputs!$B$5)^3</f>
        <v/>
      </c>
      <c r="P12">
        <f>$B12*(1-Inputs!$B$5)^4</f>
        <v/>
      </c>
      <c r="Q12">
        <f>$B12*(1-Inputs!$B$5)^5</f>
        <v/>
      </c>
      <c r="R12">
        <f>$B12*(1-Inputs!$B$5)^6</f>
        <v/>
      </c>
      <c r="S12">
        <f>$B12*(1-Inputs!$B$5)^7</f>
        <v/>
      </c>
      <c r="T12">
        <f>$B12*(1-Inputs!$B$5)^8</f>
        <v/>
      </c>
      <c r="U12">
        <f>$B12*(1-Inputs!$B$5)^9</f>
        <v/>
      </c>
      <c r="V12">
        <f>$B12*(1-Inputs!$B$5)^10</f>
        <v/>
      </c>
      <c r="W12">
        <f>$B12*(1-Inputs!$B$5)^11</f>
        <v/>
      </c>
      <c r="X12">
        <f>$B12*(1-Inputs!$B$5)^12</f>
        <v/>
      </c>
      <c r="Y12">
        <f>$B12*(1-Inputs!$B$5)^13</f>
        <v/>
      </c>
      <c r="Z12">
        <f>$B12*(1-Inputs!$B$5)^14</f>
        <v/>
      </c>
      <c r="AA12">
        <f>$B12*(1-Inputs!$B$5)^15</f>
        <v/>
      </c>
      <c r="AB12">
        <f>$B12*(1-Inputs!$B$5)^16</f>
        <v/>
      </c>
      <c r="AC12">
        <f>$B12*(1-Inputs!$B$5)^17</f>
        <v/>
      </c>
      <c r="AD12">
        <f>$B12*(1-Inputs!$B$5)^18</f>
        <v/>
      </c>
      <c r="AE12">
        <f>$B12*(1-Inputs!$B$5)^19</f>
        <v/>
      </c>
      <c r="AF12">
        <f>$B12*(1-Inputs!$B$5)^20</f>
        <v/>
      </c>
      <c r="AG12">
        <f>$B12*(1-Inputs!$B$5)^21</f>
        <v/>
      </c>
      <c r="AH12">
        <f>$B12*(1-Inputs!$B$5)^22</f>
        <v/>
      </c>
      <c r="AI12">
        <f>$B12*(1-Inputs!$B$5)^23</f>
        <v/>
      </c>
      <c r="AJ12">
        <f>$B12*(1-Inputs!$B$5)^24</f>
        <v/>
      </c>
      <c r="AK12">
        <f>$B12*(1-Inputs!$B$5)^25</f>
        <v/>
      </c>
      <c r="AL12">
        <f>$B12*(1-Inputs!$B$5)^26</f>
        <v/>
      </c>
    </row>
    <row r="13">
      <c r="A13" t="n">
        <v>11</v>
      </c>
      <c r="B13">
        <f>Inputs!$B$4</f>
        <v/>
      </c>
      <c r="C13">
        <f>0</f>
        <v/>
      </c>
      <c r="D13">
        <f>0</f>
        <v/>
      </c>
      <c r="E13">
        <f>0</f>
        <v/>
      </c>
      <c r="F13">
        <f>0</f>
        <v/>
      </c>
      <c r="G13">
        <f>0</f>
        <v/>
      </c>
      <c r="H13">
        <f>0</f>
        <v/>
      </c>
      <c r="I13">
        <f>0</f>
        <v/>
      </c>
      <c r="J13">
        <f>0</f>
        <v/>
      </c>
      <c r="K13">
        <f>0</f>
        <v/>
      </c>
      <c r="L13">
        <f>0</f>
        <v/>
      </c>
      <c r="M13">
        <f>$B13*(1-Inputs!$B$5)^0</f>
        <v/>
      </c>
      <c r="N13">
        <f>$B13*(1-Inputs!$B$5)^1</f>
        <v/>
      </c>
      <c r="O13">
        <f>$B13*(1-Inputs!$B$5)^2</f>
        <v/>
      </c>
      <c r="P13">
        <f>$B13*(1-Inputs!$B$5)^3</f>
        <v/>
      </c>
      <c r="Q13">
        <f>$B13*(1-Inputs!$B$5)^4</f>
        <v/>
      </c>
      <c r="R13">
        <f>$B13*(1-Inputs!$B$5)^5</f>
        <v/>
      </c>
      <c r="S13">
        <f>$B13*(1-Inputs!$B$5)^6</f>
        <v/>
      </c>
      <c r="T13">
        <f>$B13*(1-Inputs!$B$5)^7</f>
        <v/>
      </c>
      <c r="U13">
        <f>$B13*(1-Inputs!$B$5)^8</f>
        <v/>
      </c>
      <c r="V13">
        <f>$B13*(1-Inputs!$B$5)^9</f>
        <v/>
      </c>
      <c r="W13">
        <f>$B13*(1-Inputs!$B$5)^10</f>
        <v/>
      </c>
      <c r="X13">
        <f>$B13*(1-Inputs!$B$5)^11</f>
        <v/>
      </c>
      <c r="Y13">
        <f>$B13*(1-Inputs!$B$5)^12</f>
        <v/>
      </c>
      <c r="Z13">
        <f>$B13*(1-Inputs!$B$5)^13</f>
        <v/>
      </c>
      <c r="AA13">
        <f>$B13*(1-Inputs!$B$5)^14</f>
        <v/>
      </c>
      <c r="AB13">
        <f>$B13*(1-Inputs!$B$5)^15</f>
        <v/>
      </c>
      <c r="AC13">
        <f>$B13*(1-Inputs!$B$5)^16</f>
        <v/>
      </c>
      <c r="AD13">
        <f>$B13*(1-Inputs!$B$5)^17</f>
        <v/>
      </c>
      <c r="AE13">
        <f>$B13*(1-Inputs!$B$5)^18</f>
        <v/>
      </c>
      <c r="AF13">
        <f>$B13*(1-Inputs!$B$5)^19</f>
        <v/>
      </c>
      <c r="AG13">
        <f>$B13*(1-Inputs!$B$5)^20</f>
        <v/>
      </c>
      <c r="AH13">
        <f>$B13*(1-Inputs!$B$5)^21</f>
        <v/>
      </c>
      <c r="AI13">
        <f>$B13*(1-Inputs!$B$5)^22</f>
        <v/>
      </c>
      <c r="AJ13">
        <f>$B13*(1-Inputs!$B$5)^23</f>
        <v/>
      </c>
      <c r="AK13">
        <f>$B13*(1-Inputs!$B$5)^24</f>
        <v/>
      </c>
      <c r="AL13">
        <f>$B13*(1-Inputs!$B$5)^25</f>
        <v/>
      </c>
    </row>
    <row r="14">
      <c r="A14" t="n">
        <v>12</v>
      </c>
      <c r="B14">
        <f>Inputs!$B$4</f>
        <v/>
      </c>
      <c r="C14">
        <f>0</f>
        <v/>
      </c>
      <c r="D14">
        <f>0</f>
        <v/>
      </c>
      <c r="E14">
        <f>0</f>
        <v/>
      </c>
      <c r="F14">
        <f>0</f>
        <v/>
      </c>
      <c r="G14">
        <f>0</f>
        <v/>
      </c>
      <c r="H14">
        <f>0</f>
        <v/>
      </c>
      <c r="I14">
        <f>0</f>
        <v/>
      </c>
      <c r="J14">
        <f>0</f>
        <v/>
      </c>
      <c r="K14">
        <f>0</f>
        <v/>
      </c>
      <c r="L14">
        <f>0</f>
        <v/>
      </c>
      <c r="M14">
        <f>0</f>
        <v/>
      </c>
      <c r="N14">
        <f>$B14*(1-Inputs!$B$5)^0</f>
        <v/>
      </c>
      <c r="O14">
        <f>$B14*(1-Inputs!$B$5)^1</f>
        <v/>
      </c>
      <c r="P14">
        <f>$B14*(1-Inputs!$B$5)^2</f>
        <v/>
      </c>
      <c r="Q14">
        <f>$B14*(1-Inputs!$B$5)^3</f>
        <v/>
      </c>
      <c r="R14">
        <f>$B14*(1-Inputs!$B$5)^4</f>
        <v/>
      </c>
      <c r="S14">
        <f>$B14*(1-Inputs!$B$5)^5</f>
        <v/>
      </c>
      <c r="T14">
        <f>$B14*(1-Inputs!$B$5)^6</f>
        <v/>
      </c>
      <c r="U14">
        <f>$B14*(1-Inputs!$B$5)^7</f>
        <v/>
      </c>
      <c r="V14">
        <f>$B14*(1-Inputs!$B$5)^8</f>
        <v/>
      </c>
      <c r="W14">
        <f>$B14*(1-Inputs!$B$5)^9</f>
        <v/>
      </c>
      <c r="X14">
        <f>$B14*(1-Inputs!$B$5)^10</f>
        <v/>
      </c>
      <c r="Y14">
        <f>$B14*(1-Inputs!$B$5)^11</f>
        <v/>
      </c>
      <c r="Z14">
        <f>$B14*(1-Inputs!$B$5)^12</f>
        <v/>
      </c>
      <c r="AA14">
        <f>$B14*(1-Inputs!$B$5)^13</f>
        <v/>
      </c>
      <c r="AB14">
        <f>$B14*(1-Inputs!$B$5)^14</f>
        <v/>
      </c>
      <c r="AC14">
        <f>$B14*(1-Inputs!$B$5)^15</f>
        <v/>
      </c>
      <c r="AD14">
        <f>$B14*(1-Inputs!$B$5)^16</f>
        <v/>
      </c>
      <c r="AE14">
        <f>$B14*(1-Inputs!$B$5)^17</f>
        <v/>
      </c>
      <c r="AF14">
        <f>$B14*(1-Inputs!$B$5)^18</f>
        <v/>
      </c>
      <c r="AG14">
        <f>$B14*(1-Inputs!$B$5)^19</f>
        <v/>
      </c>
      <c r="AH14">
        <f>$B14*(1-Inputs!$B$5)^20</f>
        <v/>
      </c>
      <c r="AI14">
        <f>$B14*(1-Inputs!$B$5)^21</f>
        <v/>
      </c>
      <c r="AJ14">
        <f>$B14*(1-Inputs!$B$5)^22</f>
        <v/>
      </c>
      <c r="AK14">
        <f>$B14*(1-Inputs!$B$5)^23</f>
        <v/>
      </c>
      <c r="AL14">
        <f>$B14*(1-Inputs!$B$5)^24</f>
        <v/>
      </c>
    </row>
    <row r="15">
      <c r="A15" t="n">
        <v>13</v>
      </c>
      <c r="B15">
        <f>Inputs!$B$4</f>
        <v/>
      </c>
      <c r="C15">
        <f>0</f>
        <v/>
      </c>
      <c r="D15">
        <f>0</f>
        <v/>
      </c>
      <c r="E15">
        <f>0</f>
        <v/>
      </c>
      <c r="F15">
        <f>0</f>
        <v/>
      </c>
      <c r="G15">
        <f>0</f>
        <v/>
      </c>
      <c r="H15">
        <f>0</f>
        <v/>
      </c>
      <c r="I15">
        <f>0</f>
        <v/>
      </c>
      <c r="J15">
        <f>0</f>
        <v/>
      </c>
      <c r="K15">
        <f>0</f>
        <v/>
      </c>
      <c r="L15">
        <f>0</f>
        <v/>
      </c>
      <c r="M15">
        <f>0</f>
        <v/>
      </c>
      <c r="N15">
        <f>0</f>
        <v/>
      </c>
      <c r="O15">
        <f>$B15*(1-Inputs!$B$5)^0</f>
        <v/>
      </c>
      <c r="P15">
        <f>$B15*(1-Inputs!$B$5)^1</f>
        <v/>
      </c>
      <c r="Q15">
        <f>$B15*(1-Inputs!$B$5)^2</f>
        <v/>
      </c>
      <c r="R15">
        <f>$B15*(1-Inputs!$B$5)^3</f>
        <v/>
      </c>
      <c r="S15">
        <f>$B15*(1-Inputs!$B$5)^4</f>
        <v/>
      </c>
      <c r="T15">
        <f>$B15*(1-Inputs!$B$5)^5</f>
        <v/>
      </c>
      <c r="U15">
        <f>$B15*(1-Inputs!$B$5)^6</f>
        <v/>
      </c>
      <c r="V15">
        <f>$B15*(1-Inputs!$B$5)^7</f>
        <v/>
      </c>
      <c r="W15">
        <f>$B15*(1-Inputs!$B$5)^8</f>
        <v/>
      </c>
      <c r="X15">
        <f>$B15*(1-Inputs!$B$5)^9</f>
        <v/>
      </c>
      <c r="Y15">
        <f>$B15*(1-Inputs!$B$5)^10</f>
        <v/>
      </c>
      <c r="Z15">
        <f>$B15*(1-Inputs!$B$5)^11</f>
        <v/>
      </c>
      <c r="AA15">
        <f>$B15*(1-Inputs!$B$5)^12</f>
        <v/>
      </c>
      <c r="AB15">
        <f>$B15*(1-Inputs!$B$5)^13</f>
        <v/>
      </c>
      <c r="AC15">
        <f>$B15*(1-Inputs!$B$5)^14</f>
        <v/>
      </c>
      <c r="AD15">
        <f>$B15*(1-Inputs!$B$5)^15</f>
        <v/>
      </c>
      <c r="AE15">
        <f>$B15*(1-Inputs!$B$5)^16</f>
        <v/>
      </c>
      <c r="AF15">
        <f>$B15*(1-Inputs!$B$5)^17</f>
        <v/>
      </c>
      <c r="AG15">
        <f>$B15*(1-Inputs!$B$5)^18</f>
        <v/>
      </c>
      <c r="AH15">
        <f>$B15*(1-Inputs!$B$5)^19</f>
        <v/>
      </c>
      <c r="AI15">
        <f>$B15*(1-Inputs!$B$5)^20</f>
        <v/>
      </c>
      <c r="AJ15">
        <f>$B15*(1-Inputs!$B$5)^21</f>
        <v/>
      </c>
      <c r="AK15">
        <f>$B15*(1-Inputs!$B$5)^22</f>
        <v/>
      </c>
      <c r="AL15">
        <f>$B15*(1-Inputs!$B$5)^23</f>
        <v/>
      </c>
    </row>
    <row r="16">
      <c r="A16" t="n">
        <v>14</v>
      </c>
      <c r="B16">
        <f>Inputs!$B$4</f>
        <v/>
      </c>
      <c r="C16">
        <f>0</f>
        <v/>
      </c>
      <c r="D16">
        <f>0</f>
        <v/>
      </c>
      <c r="E16">
        <f>0</f>
        <v/>
      </c>
      <c r="F16">
        <f>0</f>
        <v/>
      </c>
      <c r="G16">
        <f>0</f>
        <v/>
      </c>
      <c r="H16">
        <f>0</f>
        <v/>
      </c>
      <c r="I16">
        <f>0</f>
        <v/>
      </c>
      <c r="J16">
        <f>0</f>
        <v/>
      </c>
      <c r="K16">
        <f>0</f>
        <v/>
      </c>
      <c r="L16">
        <f>0</f>
        <v/>
      </c>
      <c r="M16">
        <f>0</f>
        <v/>
      </c>
      <c r="N16">
        <f>0</f>
        <v/>
      </c>
      <c r="O16">
        <f>0</f>
        <v/>
      </c>
      <c r="P16">
        <f>$B16*(1-Inputs!$B$5)^0</f>
        <v/>
      </c>
      <c r="Q16">
        <f>$B16*(1-Inputs!$B$5)^1</f>
        <v/>
      </c>
      <c r="R16">
        <f>$B16*(1-Inputs!$B$5)^2</f>
        <v/>
      </c>
      <c r="S16">
        <f>$B16*(1-Inputs!$B$5)^3</f>
        <v/>
      </c>
      <c r="T16">
        <f>$B16*(1-Inputs!$B$5)^4</f>
        <v/>
      </c>
      <c r="U16">
        <f>$B16*(1-Inputs!$B$5)^5</f>
        <v/>
      </c>
      <c r="V16">
        <f>$B16*(1-Inputs!$B$5)^6</f>
        <v/>
      </c>
      <c r="W16">
        <f>$B16*(1-Inputs!$B$5)^7</f>
        <v/>
      </c>
      <c r="X16">
        <f>$B16*(1-Inputs!$B$5)^8</f>
        <v/>
      </c>
      <c r="Y16">
        <f>$B16*(1-Inputs!$B$5)^9</f>
        <v/>
      </c>
      <c r="Z16">
        <f>$B16*(1-Inputs!$B$5)^10</f>
        <v/>
      </c>
      <c r="AA16">
        <f>$B16*(1-Inputs!$B$5)^11</f>
        <v/>
      </c>
      <c r="AB16">
        <f>$B16*(1-Inputs!$B$5)^12</f>
        <v/>
      </c>
      <c r="AC16">
        <f>$B16*(1-Inputs!$B$5)^13</f>
        <v/>
      </c>
      <c r="AD16">
        <f>$B16*(1-Inputs!$B$5)^14</f>
        <v/>
      </c>
      <c r="AE16">
        <f>$B16*(1-Inputs!$B$5)^15</f>
        <v/>
      </c>
      <c r="AF16">
        <f>$B16*(1-Inputs!$B$5)^16</f>
        <v/>
      </c>
      <c r="AG16">
        <f>$B16*(1-Inputs!$B$5)^17</f>
        <v/>
      </c>
      <c r="AH16">
        <f>$B16*(1-Inputs!$B$5)^18</f>
        <v/>
      </c>
      <c r="AI16">
        <f>$B16*(1-Inputs!$B$5)^19</f>
        <v/>
      </c>
      <c r="AJ16">
        <f>$B16*(1-Inputs!$B$5)^20</f>
        <v/>
      </c>
      <c r="AK16">
        <f>$B16*(1-Inputs!$B$5)^21</f>
        <v/>
      </c>
      <c r="AL16">
        <f>$B16*(1-Inputs!$B$5)^22</f>
        <v/>
      </c>
    </row>
    <row r="17">
      <c r="A17" t="n">
        <v>15</v>
      </c>
      <c r="B17">
        <f>Inputs!$B$4</f>
        <v/>
      </c>
      <c r="C17">
        <f>0</f>
        <v/>
      </c>
      <c r="D17">
        <f>0</f>
        <v/>
      </c>
      <c r="E17">
        <f>0</f>
        <v/>
      </c>
      <c r="F17">
        <f>0</f>
        <v/>
      </c>
      <c r="G17">
        <f>0</f>
        <v/>
      </c>
      <c r="H17">
        <f>0</f>
        <v/>
      </c>
      <c r="I17">
        <f>0</f>
        <v/>
      </c>
      <c r="J17">
        <f>0</f>
        <v/>
      </c>
      <c r="K17">
        <f>0</f>
        <v/>
      </c>
      <c r="L17">
        <f>0</f>
        <v/>
      </c>
      <c r="M17">
        <f>0</f>
        <v/>
      </c>
      <c r="N17">
        <f>0</f>
        <v/>
      </c>
      <c r="O17">
        <f>0</f>
        <v/>
      </c>
      <c r="P17">
        <f>0</f>
        <v/>
      </c>
      <c r="Q17">
        <f>$B17*(1-Inputs!$B$5)^0</f>
        <v/>
      </c>
      <c r="R17">
        <f>$B17*(1-Inputs!$B$5)^1</f>
        <v/>
      </c>
      <c r="S17">
        <f>$B17*(1-Inputs!$B$5)^2</f>
        <v/>
      </c>
      <c r="T17">
        <f>$B17*(1-Inputs!$B$5)^3</f>
        <v/>
      </c>
      <c r="U17">
        <f>$B17*(1-Inputs!$B$5)^4</f>
        <v/>
      </c>
      <c r="V17">
        <f>$B17*(1-Inputs!$B$5)^5</f>
        <v/>
      </c>
      <c r="W17">
        <f>$B17*(1-Inputs!$B$5)^6</f>
        <v/>
      </c>
      <c r="X17">
        <f>$B17*(1-Inputs!$B$5)^7</f>
        <v/>
      </c>
      <c r="Y17">
        <f>$B17*(1-Inputs!$B$5)^8</f>
        <v/>
      </c>
      <c r="Z17">
        <f>$B17*(1-Inputs!$B$5)^9</f>
        <v/>
      </c>
      <c r="AA17">
        <f>$B17*(1-Inputs!$B$5)^10</f>
        <v/>
      </c>
      <c r="AB17">
        <f>$B17*(1-Inputs!$B$5)^11</f>
        <v/>
      </c>
      <c r="AC17">
        <f>$B17*(1-Inputs!$B$5)^12</f>
        <v/>
      </c>
      <c r="AD17">
        <f>$B17*(1-Inputs!$B$5)^13</f>
        <v/>
      </c>
      <c r="AE17">
        <f>$B17*(1-Inputs!$B$5)^14</f>
        <v/>
      </c>
      <c r="AF17">
        <f>$B17*(1-Inputs!$B$5)^15</f>
        <v/>
      </c>
      <c r="AG17">
        <f>$B17*(1-Inputs!$B$5)^16</f>
        <v/>
      </c>
      <c r="AH17">
        <f>$B17*(1-Inputs!$B$5)^17</f>
        <v/>
      </c>
      <c r="AI17">
        <f>$B17*(1-Inputs!$B$5)^18</f>
        <v/>
      </c>
      <c r="AJ17">
        <f>$B17*(1-Inputs!$B$5)^19</f>
        <v/>
      </c>
      <c r="AK17">
        <f>$B17*(1-Inputs!$B$5)^20</f>
        <v/>
      </c>
      <c r="AL17">
        <f>$B17*(1-Inputs!$B$5)^21</f>
        <v/>
      </c>
    </row>
    <row r="18">
      <c r="A18" t="n">
        <v>16</v>
      </c>
      <c r="B18">
        <f>Inputs!$B$4</f>
        <v/>
      </c>
      <c r="C18">
        <f>0</f>
        <v/>
      </c>
      <c r="D18">
        <f>0</f>
        <v/>
      </c>
      <c r="E18">
        <f>0</f>
        <v/>
      </c>
      <c r="F18">
        <f>0</f>
        <v/>
      </c>
      <c r="G18">
        <f>0</f>
        <v/>
      </c>
      <c r="H18">
        <f>0</f>
        <v/>
      </c>
      <c r="I18">
        <f>0</f>
        <v/>
      </c>
      <c r="J18">
        <f>0</f>
        <v/>
      </c>
      <c r="K18">
        <f>0</f>
        <v/>
      </c>
      <c r="L18">
        <f>0</f>
        <v/>
      </c>
      <c r="M18">
        <f>0</f>
        <v/>
      </c>
      <c r="N18">
        <f>0</f>
        <v/>
      </c>
      <c r="O18">
        <f>0</f>
        <v/>
      </c>
      <c r="P18">
        <f>0</f>
        <v/>
      </c>
      <c r="Q18">
        <f>0</f>
        <v/>
      </c>
      <c r="R18">
        <f>$B18*(1-Inputs!$B$5)^0</f>
        <v/>
      </c>
      <c r="S18">
        <f>$B18*(1-Inputs!$B$5)^1</f>
        <v/>
      </c>
      <c r="T18">
        <f>$B18*(1-Inputs!$B$5)^2</f>
        <v/>
      </c>
      <c r="U18">
        <f>$B18*(1-Inputs!$B$5)^3</f>
        <v/>
      </c>
      <c r="V18">
        <f>$B18*(1-Inputs!$B$5)^4</f>
        <v/>
      </c>
      <c r="W18">
        <f>$B18*(1-Inputs!$B$5)^5</f>
        <v/>
      </c>
      <c r="X18">
        <f>$B18*(1-Inputs!$B$5)^6</f>
        <v/>
      </c>
      <c r="Y18">
        <f>$B18*(1-Inputs!$B$5)^7</f>
        <v/>
      </c>
      <c r="Z18">
        <f>$B18*(1-Inputs!$B$5)^8</f>
        <v/>
      </c>
      <c r="AA18">
        <f>$B18*(1-Inputs!$B$5)^9</f>
        <v/>
      </c>
      <c r="AB18">
        <f>$B18*(1-Inputs!$B$5)^10</f>
        <v/>
      </c>
      <c r="AC18">
        <f>$B18*(1-Inputs!$B$5)^11</f>
        <v/>
      </c>
      <c r="AD18">
        <f>$B18*(1-Inputs!$B$5)^12</f>
        <v/>
      </c>
      <c r="AE18">
        <f>$B18*(1-Inputs!$B$5)^13</f>
        <v/>
      </c>
      <c r="AF18">
        <f>$B18*(1-Inputs!$B$5)^14</f>
        <v/>
      </c>
      <c r="AG18">
        <f>$B18*(1-Inputs!$B$5)^15</f>
        <v/>
      </c>
      <c r="AH18">
        <f>$B18*(1-Inputs!$B$5)^16</f>
        <v/>
      </c>
      <c r="AI18">
        <f>$B18*(1-Inputs!$B$5)^17</f>
        <v/>
      </c>
      <c r="AJ18">
        <f>$B18*(1-Inputs!$B$5)^18</f>
        <v/>
      </c>
      <c r="AK18">
        <f>$B18*(1-Inputs!$B$5)^19</f>
        <v/>
      </c>
      <c r="AL18">
        <f>$B18*(1-Inputs!$B$5)^20</f>
        <v/>
      </c>
    </row>
    <row r="19">
      <c r="A19" t="n">
        <v>17</v>
      </c>
      <c r="B19">
        <f>Inputs!$B$4</f>
        <v/>
      </c>
      <c r="C19">
        <f>0</f>
        <v/>
      </c>
      <c r="D19">
        <f>0</f>
        <v/>
      </c>
      <c r="E19">
        <f>0</f>
        <v/>
      </c>
      <c r="F19">
        <f>0</f>
        <v/>
      </c>
      <c r="G19">
        <f>0</f>
        <v/>
      </c>
      <c r="H19">
        <f>0</f>
        <v/>
      </c>
      <c r="I19">
        <f>0</f>
        <v/>
      </c>
      <c r="J19">
        <f>0</f>
        <v/>
      </c>
      <c r="K19">
        <f>0</f>
        <v/>
      </c>
      <c r="L19">
        <f>0</f>
        <v/>
      </c>
      <c r="M19">
        <f>0</f>
        <v/>
      </c>
      <c r="N19">
        <f>0</f>
        <v/>
      </c>
      <c r="O19">
        <f>0</f>
        <v/>
      </c>
      <c r="P19">
        <f>0</f>
        <v/>
      </c>
      <c r="Q19">
        <f>0</f>
        <v/>
      </c>
      <c r="R19">
        <f>0</f>
        <v/>
      </c>
      <c r="S19">
        <f>$B19*(1-Inputs!$B$5)^0</f>
        <v/>
      </c>
      <c r="T19">
        <f>$B19*(1-Inputs!$B$5)^1</f>
        <v/>
      </c>
      <c r="U19">
        <f>$B19*(1-Inputs!$B$5)^2</f>
        <v/>
      </c>
      <c r="V19">
        <f>$B19*(1-Inputs!$B$5)^3</f>
        <v/>
      </c>
      <c r="W19">
        <f>$B19*(1-Inputs!$B$5)^4</f>
        <v/>
      </c>
      <c r="X19">
        <f>$B19*(1-Inputs!$B$5)^5</f>
        <v/>
      </c>
      <c r="Y19">
        <f>$B19*(1-Inputs!$B$5)^6</f>
        <v/>
      </c>
      <c r="Z19">
        <f>$B19*(1-Inputs!$B$5)^7</f>
        <v/>
      </c>
      <c r="AA19">
        <f>$B19*(1-Inputs!$B$5)^8</f>
        <v/>
      </c>
      <c r="AB19">
        <f>$B19*(1-Inputs!$B$5)^9</f>
        <v/>
      </c>
      <c r="AC19">
        <f>$B19*(1-Inputs!$B$5)^10</f>
        <v/>
      </c>
      <c r="AD19">
        <f>$B19*(1-Inputs!$B$5)^11</f>
        <v/>
      </c>
      <c r="AE19">
        <f>$B19*(1-Inputs!$B$5)^12</f>
        <v/>
      </c>
      <c r="AF19">
        <f>$B19*(1-Inputs!$B$5)^13</f>
        <v/>
      </c>
      <c r="AG19">
        <f>$B19*(1-Inputs!$B$5)^14</f>
        <v/>
      </c>
      <c r="AH19">
        <f>$B19*(1-Inputs!$B$5)^15</f>
        <v/>
      </c>
      <c r="AI19">
        <f>$B19*(1-Inputs!$B$5)^16</f>
        <v/>
      </c>
      <c r="AJ19">
        <f>$B19*(1-Inputs!$B$5)^17</f>
        <v/>
      </c>
      <c r="AK19">
        <f>$B19*(1-Inputs!$B$5)^18</f>
        <v/>
      </c>
      <c r="AL19">
        <f>$B19*(1-Inputs!$B$5)^19</f>
        <v/>
      </c>
    </row>
    <row r="20">
      <c r="A20" t="n">
        <v>18</v>
      </c>
      <c r="B20">
        <f>Inputs!$B$4</f>
        <v/>
      </c>
      <c r="C20">
        <f>0</f>
        <v/>
      </c>
      <c r="D20">
        <f>0</f>
        <v/>
      </c>
      <c r="E20">
        <f>0</f>
        <v/>
      </c>
      <c r="F20">
        <f>0</f>
        <v/>
      </c>
      <c r="G20">
        <f>0</f>
        <v/>
      </c>
      <c r="H20">
        <f>0</f>
        <v/>
      </c>
      <c r="I20">
        <f>0</f>
        <v/>
      </c>
      <c r="J20">
        <f>0</f>
        <v/>
      </c>
      <c r="K20">
        <f>0</f>
        <v/>
      </c>
      <c r="L20">
        <f>0</f>
        <v/>
      </c>
      <c r="M20">
        <f>0</f>
        <v/>
      </c>
      <c r="N20">
        <f>0</f>
        <v/>
      </c>
      <c r="O20">
        <f>0</f>
        <v/>
      </c>
      <c r="P20">
        <f>0</f>
        <v/>
      </c>
      <c r="Q20">
        <f>0</f>
        <v/>
      </c>
      <c r="R20">
        <f>0</f>
        <v/>
      </c>
      <c r="S20">
        <f>0</f>
        <v/>
      </c>
      <c r="T20">
        <f>$B20*(1-Inputs!$B$5)^0</f>
        <v/>
      </c>
      <c r="U20">
        <f>$B20*(1-Inputs!$B$5)^1</f>
        <v/>
      </c>
      <c r="V20">
        <f>$B20*(1-Inputs!$B$5)^2</f>
        <v/>
      </c>
      <c r="W20">
        <f>$B20*(1-Inputs!$B$5)^3</f>
        <v/>
      </c>
      <c r="X20">
        <f>$B20*(1-Inputs!$B$5)^4</f>
        <v/>
      </c>
      <c r="Y20">
        <f>$B20*(1-Inputs!$B$5)^5</f>
        <v/>
      </c>
      <c r="Z20">
        <f>$B20*(1-Inputs!$B$5)^6</f>
        <v/>
      </c>
      <c r="AA20">
        <f>$B20*(1-Inputs!$B$5)^7</f>
        <v/>
      </c>
      <c r="AB20">
        <f>$B20*(1-Inputs!$B$5)^8</f>
        <v/>
      </c>
      <c r="AC20">
        <f>$B20*(1-Inputs!$B$5)^9</f>
        <v/>
      </c>
      <c r="AD20">
        <f>$B20*(1-Inputs!$B$5)^10</f>
        <v/>
      </c>
      <c r="AE20">
        <f>$B20*(1-Inputs!$B$5)^11</f>
        <v/>
      </c>
      <c r="AF20">
        <f>$B20*(1-Inputs!$B$5)^12</f>
        <v/>
      </c>
      <c r="AG20">
        <f>$B20*(1-Inputs!$B$5)^13</f>
        <v/>
      </c>
      <c r="AH20">
        <f>$B20*(1-Inputs!$B$5)^14</f>
        <v/>
      </c>
      <c r="AI20">
        <f>$B20*(1-Inputs!$B$5)^15</f>
        <v/>
      </c>
      <c r="AJ20">
        <f>$B20*(1-Inputs!$B$5)^16</f>
        <v/>
      </c>
      <c r="AK20">
        <f>$B20*(1-Inputs!$B$5)^17</f>
        <v/>
      </c>
      <c r="AL20">
        <f>$B20*(1-Inputs!$B$5)^18</f>
        <v/>
      </c>
    </row>
    <row r="21">
      <c r="A21" t="n">
        <v>19</v>
      </c>
      <c r="B21">
        <f>Inputs!$B$4</f>
        <v/>
      </c>
      <c r="C21">
        <f>0</f>
        <v/>
      </c>
      <c r="D21">
        <f>0</f>
        <v/>
      </c>
      <c r="E21">
        <f>0</f>
        <v/>
      </c>
      <c r="F21">
        <f>0</f>
        <v/>
      </c>
      <c r="G21">
        <f>0</f>
        <v/>
      </c>
      <c r="H21">
        <f>0</f>
        <v/>
      </c>
      <c r="I21">
        <f>0</f>
        <v/>
      </c>
      <c r="J21">
        <f>0</f>
        <v/>
      </c>
      <c r="K21">
        <f>0</f>
        <v/>
      </c>
      <c r="L21">
        <f>0</f>
        <v/>
      </c>
      <c r="M21">
        <f>0</f>
        <v/>
      </c>
      <c r="N21">
        <f>0</f>
        <v/>
      </c>
      <c r="O21">
        <f>0</f>
        <v/>
      </c>
      <c r="P21">
        <f>0</f>
        <v/>
      </c>
      <c r="Q21">
        <f>0</f>
        <v/>
      </c>
      <c r="R21">
        <f>0</f>
        <v/>
      </c>
      <c r="S21">
        <f>0</f>
        <v/>
      </c>
      <c r="T21">
        <f>0</f>
        <v/>
      </c>
      <c r="U21">
        <f>$B21*(1-Inputs!$B$5)^0</f>
        <v/>
      </c>
      <c r="V21">
        <f>$B21*(1-Inputs!$B$5)^1</f>
        <v/>
      </c>
      <c r="W21">
        <f>$B21*(1-Inputs!$B$5)^2</f>
        <v/>
      </c>
      <c r="X21">
        <f>$B21*(1-Inputs!$B$5)^3</f>
        <v/>
      </c>
      <c r="Y21">
        <f>$B21*(1-Inputs!$B$5)^4</f>
        <v/>
      </c>
      <c r="Z21">
        <f>$B21*(1-Inputs!$B$5)^5</f>
        <v/>
      </c>
      <c r="AA21">
        <f>$B21*(1-Inputs!$B$5)^6</f>
        <v/>
      </c>
      <c r="AB21">
        <f>$B21*(1-Inputs!$B$5)^7</f>
        <v/>
      </c>
      <c r="AC21">
        <f>$B21*(1-Inputs!$B$5)^8</f>
        <v/>
      </c>
      <c r="AD21">
        <f>$B21*(1-Inputs!$B$5)^9</f>
        <v/>
      </c>
      <c r="AE21">
        <f>$B21*(1-Inputs!$B$5)^10</f>
        <v/>
      </c>
      <c r="AF21">
        <f>$B21*(1-Inputs!$B$5)^11</f>
        <v/>
      </c>
      <c r="AG21">
        <f>$B21*(1-Inputs!$B$5)^12</f>
        <v/>
      </c>
      <c r="AH21">
        <f>$B21*(1-Inputs!$B$5)^13</f>
        <v/>
      </c>
      <c r="AI21">
        <f>$B21*(1-Inputs!$B$5)^14</f>
        <v/>
      </c>
      <c r="AJ21">
        <f>$B21*(1-Inputs!$B$5)^15</f>
        <v/>
      </c>
      <c r="AK21">
        <f>$B21*(1-Inputs!$B$5)^16</f>
        <v/>
      </c>
      <c r="AL21">
        <f>$B21*(1-Inputs!$B$5)^17</f>
        <v/>
      </c>
    </row>
    <row r="22">
      <c r="A22" t="n">
        <v>20</v>
      </c>
      <c r="B22">
        <f>Inputs!$B$4</f>
        <v/>
      </c>
      <c r="C22">
        <f>0</f>
        <v/>
      </c>
      <c r="D22">
        <f>0</f>
        <v/>
      </c>
      <c r="E22">
        <f>0</f>
        <v/>
      </c>
      <c r="F22">
        <f>0</f>
        <v/>
      </c>
      <c r="G22">
        <f>0</f>
        <v/>
      </c>
      <c r="H22">
        <f>0</f>
        <v/>
      </c>
      <c r="I22">
        <f>0</f>
        <v/>
      </c>
      <c r="J22">
        <f>0</f>
        <v/>
      </c>
      <c r="K22">
        <f>0</f>
        <v/>
      </c>
      <c r="L22">
        <f>0</f>
        <v/>
      </c>
      <c r="M22">
        <f>0</f>
        <v/>
      </c>
      <c r="N22">
        <f>0</f>
        <v/>
      </c>
      <c r="O22">
        <f>0</f>
        <v/>
      </c>
      <c r="P22">
        <f>0</f>
        <v/>
      </c>
      <c r="Q22">
        <f>0</f>
        <v/>
      </c>
      <c r="R22">
        <f>0</f>
        <v/>
      </c>
      <c r="S22">
        <f>0</f>
        <v/>
      </c>
      <c r="T22">
        <f>0</f>
        <v/>
      </c>
      <c r="U22">
        <f>0</f>
        <v/>
      </c>
      <c r="V22">
        <f>$B22*(1-Inputs!$B$5)^0</f>
        <v/>
      </c>
      <c r="W22">
        <f>$B22*(1-Inputs!$B$5)^1</f>
        <v/>
      </c>
      <c r="X22">
        <f>$B22*(1-Inputs!$B$5)^2</f>
        <v/>
      </c>
      <c r="Y22">
        <f>$B22*(1-Inputs!$B$5)^3</f>
        <v/>
      </c>
      <c r="Z22">
        <f>$B22*(1-Inputs!$B$5)^4</f>
        <v/>
      </c>
      <c r="AA22">
        <f>$B22*(1-Inputs!$B$5)^5</f>
        <v/>
      </c>
      <c r="AB22">
        <f>$B22*(1-Inputs!$B$5)^6</f>
        <v/>
      </c>
      <c r="AC22">
        <f>$B22*(1-Inputs!$B$5)^7</f>
        <v/>
      </c>
      <c r="AD22">
        <f>$B22*(1-Inputs!$B$5)^8</f>
        <v/>
      </c>
      <c r="AE22">
        <f>$B22*(1-Inputs!$B$5)^9</f>
        <v/>
      </c>
      <c r="AF22">
        <f>$B22*(1-Inputs!$B$5)^10</f>
        <v/>
      </c>
      <c r="AG22">
        <f>$B22*(1-Inputs!$B$5)^11</f>
        <v/>
      </c>
      <c r="AH22">
        <f>$B22*(1-Inputs!$B$5)^12</f>
        <v/>
      </c>
      <c r="AI22">
        <f>$B22*(1-Inputs!$B$5)^13</f>
        <v/>
      </c>
      <c r="AJ22">
        <f>$B22*(1-Inputs!$B$5)^14</f>
        <v/>
      </c>
      <c r="AK22">
        <f>$B22*(1-Inputs!$B$5)^15</f>
        <v/>
      </c>
      <c r="AL22">
        <f>$B22*(1-Inputs!$B$5)^16</f>
        <v/>
      </c>
    </row>
    <row r="23">
      <c r="A23" t="n">
        <v>21</v>
      </c>
      <c r="B23">
        <f>Inputs!$B$4</f>
        <v/>
      </c>
      <c r="C23">
        <f>0</f>
        <v/>
      </c>
      <c r="D23">
        <f>0</f>
        <v/>
      </c>
      <c r="E23">
        <f>0</f>
        <v/>
      </c>
      <c r="F23">
        <f>0</f>
        <v/>
      </c>
      <c r="G23">
        <f>0</f>
        <v/>
      </c>
      <c r="H23">
        <f>0</f>
        <v/>
      </c>
      <c r="I23">
        <f>0</f>
        <v/>
      </c>
      <c r="J23">
        <f>0</f>
        <v/>
      </c>
      <c r="K23">
        <f>0</f>
        <v/>
      </c>
      <c r="L23">
        <f>0</f>
        <v/>
      </c>
      <c r="M23">
        <f>0</f>
        <v/>
      </c>
      <c r="N23">
        <f>0</f>
        <v/>
      </c>
      <c r="O23">
        <f>0</f>
        <v/>
      </c>
      <c r="P23">
        <f>0</f>
        <v/>
      </c>
      <c r="Q23">
        <f>0</f>
        <v/>
      </c>
      <c r="R23">
        <f>0</f>
        <v/>
      </c>
      <c r="S23">
        <f>0</f>
        <v/>
      </c>
      <c r="T23">
        <f>0</f>
        <v/>
      </c>
      <c r="U23">
        <f>0</f>
        <v/>
      </c>
      <c r="V23">
        <f>0</f>
        <v/>
      </c>
      <c r="W23">
        <f>$B23*(1-Inputs!$B$5)^0</f>
        <v/>
      </c>
      <c r="X23">
        <f>$B23*(1-Inputs!$B$5)^1</f>
        <v/>
      </c>
      <c r="Y23">
        <f>$B23*(1-Inputs!$B$5)^2</f>
        <v/>
      </c>
      <c r="Z23">
        <f>$B23*(1-Inputs!$B$5)^3</f>
        <v/>
      </c>
      <c r="AA23">
        <f>$B23*(1-Inputs!$B$5)^4</f>
        <v/>
      </c>
      <c r="AB23">
        <f>$B23*(1-Inputs!$B$5)^5</f>
        <v/>
      </c>
      <c r="AC23">
        <f>$B23*(1-Inputs!$B$5)^6</f>
        <v/>
      </c>
      <c r="AD23">
        <f>$B23*(1-Inputs!$B$5)^7</f>
        <v/>
      </c>
      <c r="AE23">
        <f>$B23*(1-Inputs!$B$5)^8</f>
        <v/>
      </c>
      <c r="AF23">
        <f>$B23*(1-Inputs!$B$5)^9</f>
        <v/>
      </c>
      <c r="AG23">
        <f>$B23*(1-Inputs!$B$5)^10</f>
        <v/>
      </c>
      <c r="AH23">
        <f>$B23*(1-Inputs!$B$5)^11</f>
        <v/>
      </c>
      <c r="AI23">
        <f>$B23*(1-Inputs!$B$5)^12</f>
        <v/>
      </c>
      <c r="AJ23">
        <f>$B23*(1-Inputs!$B$5)^13</f>
        <v/>
      </c>
      <c r="AK23">
        <f>$B23*(1-Inputs!$B$5)^14</f>
        <v/>
      </c>
      <c r="AL23">
        <f>$B23*(1-Inputs!$B$5)^15</f>
        <v/>
      </c>
    </row>
    <row r="24">
      <c r="A24" t="n">
        <v>22</v>
      </c>
      <c r="B24">
        <f>Inputs!$B$4</f>
        <v/>
      </c>
      <c r="C24">
        <f>0</f>
        <v/>
      </c>
      <c r="D24">
        <f>0</f>
        <v/>
      </c>
      <c r="E24">
        <f>0</f>
        <v/>
      </c>
      <c r="F24">
        <f>0</f>
        <v/>
      </c>
      <c r="G24">
        <f>0</f>
        <v/>
      </c>
      <c r="H24">
        <f>0</f>
        <v/>
      </c>
      <c r="I24">
        <f>0</f>
        <v/>
      </c>
      <c r="J24">
        <f>0</f>
        <v/>
      </c>
      <c r="K24">
        <f>0</f>
        <v/>
      </c>
      <c r="L24">
        <f>0</f>
        <v/>
      </c>
      <c r="M24">
        <f>0</f>
        <v/>
      </c>
      <c r="N24">
        <f>0</f>
        <v/>
      </c>
      <c r="O24">
        <f>0</f>
        <v/>
      </c>
      <c r="P24">
        <f>0</f>
        <v/>
      </c>
      <c r="Q24">
        <f>0</f>
        <v/>
      </c>
      <c r="R24">
        <f>0</f>
        <v/>
      </c>
      <c r="S24">
        <f>0</f>
        <v/>
      </c>
      <c r="T24">
        <f>0</f>
        <v/>
      </c>
      <c r="U24">
        <f>0</f>
        <v/>
      </c>
      <c r="V24">
        <f>0</f>
        <v/>
      </c>
      <c r="W24">
        <f>0</f>
        <v/>
      </c>
      <c r="X24">
        <f>$B24*(1-Inputs!$B$5)^0</f>
        <v/>
      </c>
      <c r="Y24">
        <f>$B24*(1-Inputs!$B$5)^1</f>
        <v/>
      </c>
      <c r="Z24">
        <f>$B24*(1-Inputs!$B$5)^2</f>
        <v/>
      </c>
      <c r="AA24">
        <f>$B24*(1-Inputs!$B$5)^3</f>
        <v/>
      </c>
      <c r="AB24">
        <f>$B24*(1-Inputs!$B$5)^4</f>
        <v/>
      </c>
      <c r="AC24">
        <f>$B24*(1-Inputs!$B$5)^5</f>
        <v/>
      </c>
      <c r="AD24">
        <f>$B24*(1-Inputs!$B$5)^6</f>
        <v/>
      </c>
      <c r="AE24">
        <f>$B24*(1-Inputs!$B$5)^7</f>
        <v/>
      </c>
      <c r="AF24">
        <f>$B24*(1-Inputs!$B$5)^8</f>
        <v/>
      </c>
      <c r="AG24">
        <f>$B24*(1-Inputs!$B$5)^9</f>
        <v/>
      </c>
      <c r="AH24">
        <f>$B24*(1-Inputs!$B$5)^10</f>
        <v/>
      </c>
      <c r="AI24">
        <f>$B24*(1-Inputs!$B$5)^11</f>
        <v/>
      </c>
      <c r="AJ24">
        <f>$B24*(1-Inputs!$B$5)^12</f>
        <v/>
      </c>
      <c r="AK24">
        <f>$B24*(1-Inputs!$B$5)^13</f>
        <v/>
      </c>
      <c r="AL24">
        <f>$B24*(1-Inputs!$B$5)^14</f>
        <v/>
      </c>
    </row>
    <row r="25">
      <c r="A25" t="n">
        <v>23</v>
      </c>
      <c r="B25">
        <f>Inputs!$B$4</f>
        <v/>
      </c>
      <c r="C25">
        <f>0</f>
        <v/>
      </c>
      <c r="D25">
        <f>0</f>
        <v/>
      </c>
      <c r="E25">
        <f>0</f>
        <v/>
      </c>
      <c r="F25">
        <f>0</f>
        <v/>
      </c>
      <c r="G25">
        <f>0</f>
        <v/>
      </c>
      <c r="H25">
        <f>0</f>
        <v/>
      </c>
      <c r="I25">
        <f>0</f>
        <v/>
      </c>
      <c r="J25">
        <f>0</f>
        <v/>
      </c>
      <c r="K25">
        <f>0</f>
        <v/>
      </c>
      <c r="L25">
        <f>0</f>
        <v/>
      </c>
      <c r="M25">
        <f>0</f>
        <v/>
      </c>
      <c r="N25">
        <f>0</f>
        <v/>
      </c>
      <c r="O25">
        <f>0</f>
        <v/>
      </c>
      <c r="P25">
        <f>0</f>
        <v/>
      </c>
      <c r="Q25">
        <f>0</f>
        <v/>
      </c>
      <c r="R25">
        <f>0</f>
        <v/>
      </c>
      <c r="S25">
        <f>0</f>
        <v/>
      </c>
      <c r="T25">
        <f>0</f>
        <v/>
      </c>
      <c r="U25">
        <f>0</f>
        <v/>
      </c>
      <c r="V25">
        <f>0</f>
        <v/>
      </c>
      <c r="W25">
        <f>0</f>
        <v/>
      </c>
      <c r="X25">
        <f>0</f>
        <v/>
      </c>
      <c r="Y25">
        <f>$B25*(1-Inputs!$B$5)^0</f>
        <v/>
      </c>
      <c r="Z25">
        <f>$B25*(1-Inputs!$B$5)^1</f>
        <v/>
      </c>
      <c r="AA25">
        <f>$B25*(1-Inputs!$B$5)^2</f>
        <v/>
      </c>
      <c r="AB25">
        <f>$B25*(1-Inputs!$B$5)^3</f>
        <v/>
      </c>
      <c r="AC25">
        <f>$B25*(1-Inputs!$B$5)^4</f>
        <v/>
      </c>
      <c r="AD25">
        <f>$B25*(1-Inputs!$B$5)^5</f>
        <v/>
      </c>
      <c r="AE25">
        <f>$B25*(1-Inputs!$B$5)^6</f>
        <v/>
      </c>
      <c r="AF25">
        <f>$B25*(1-Inputs!$B$5)^7</f>
        <v/>
      </c>
      <c r="AG25">
        <f>$B25*(1-Inputs!$B$5)^8</f>
        <v/>
      </c>
      <c r="AH25">
        <f>$B25*(1-Inputs!$B$5)^9</f>
        <v/>
      </c>
      <c r="AI25">
        <f>$B25*(1-Inputs!$B$5)^10</f>
        <v/>
      </c>
      <c r="AJ25">
        <f>$B25*(1-Inputs!$B$5)^11</f>
        <v/>
      </c>
      <c r="AK25">
        <f>$B25*(1-Inputs!$B$5)^12</f>
        <v/>
      </c>
      <c r="AL25">
        <f>$B25*(1-Inputs!$B$5)^13</f>
        <v/>
      </c>
    </row>
    <row r="26">
      <c r="A26" t="n">
        <v>24</v>
      </c>
      <c r="B26">
        <f>Inputs!$B$4</f>
        <v/>
      </c>
      <c r="C26">
        <f>0</f>
        <v/>
      </c>
      <c r="D26">
        <f>0</f>
        <v/>
      </c>
      <c r="E26">
        <f>0</f>
        <v/>
      </c>
      <c r="F26">
        <f>0</f>
        <v/>
      </c>
      <c r="G26">
        <f>0</f>
        <v/>
      </c>
      <c r="H26">
        <f>0</f>
        <v/>
      </c>
      <c r="I26">
        <f>0</f>
        <v/>
      </c>
      <c r="J26">
        <f>0</f>
        <v/>
      </c>
      <c r="K26">
        <f>0</f>
        <v/>
      </c>
      <c r="L26">
        <f>0</f>
        <v/>
      </c>
      <c r="M26">
        <f>0</f>
        <v/>
      </c>
      <c r="N26">
        <f>0</f>
        <v/>
      </c>
      <c r="O26">
        <f>0</f>
        <v/>
      </c>
      <c r="P26">
        <f>0</f>
        <v/>
      </c>
      <c r="Q26">
        <f>0</f>
        <v/>
      </c>
      <c r="R26">
        <f>0</f>
        <v/>
      </c>
      <c r="S26">
        <f>0</f>
        <v/>
      </c>
      <c r="T26">
        <f>0</f>
        <v/>
      </c>
      <c r="U26">
        <f>0</f>
        <v/>
      </c>
      <c r="V26">
        <f>0</f>
        <v/>
      </c>
      <c r="W26">
        <f>0</f>
        <v/>
      </c>
      <c r="X26">
        <f>0</f>
        <v/>
      </c>
      <c r="Y26">
        <f>0</f>
        <v/>
      </c>
      <c r="Z26">
        <f>$B26*(1-Inputs!$B$5)^0</f>
        <v/>
      </c>
      <c r="AA26">
        <f>$B26*(1-Inputs!$B$5)^1</f>
        <v/>
      </c>
      <c r="AB26">
        <f>$B26*(1-Inputs!$B$5)^2</f>
        <v/>
      </c>
      <c r="AC26">
        <f>$B26*(1-Inputs!$B$5)^3</f>
        <v/>
      </c>
      <c r="AD26">
        <f>$B26*(1-Inputs!$B$5)^4</f>
        <v/>
      </c>
      <c r="AE26">
        <f>$B26*(1-Inputs!$B$5)^5</f>
        <v/>
      </c>
      <c r="AF26">
        <f>$B26*(1-Inputs!$B$5)^6</f>
        <v/>
      </c>
      <c r="AG26">
        <f>$B26*(1-Inputs!$B$5)^7</f>
        <v/>
      </c>
      <c r="AH26">
        <f>$B26*(1-Inputs!$B$5)^8</f>
        <v/>
      </c>
      <c r="AI26">
        <f>$B26*(1-Inputs!$B$5)^9</f>
        <v/>
      </c>
      <c r="AJ26">
        <f>$B26*(1-Inputs!$B$5)^10</f>
        <v/>
      </c>
      <c r="AK26">
        <f>$B26*(1-Inputs!$B$5)^11</f>
        <v/>
      </c>
      <c r="AL26">
        <f>$B26*(1-Inputs!$B$5)^12</f>
        <v/>
      </c>
    </row>
    <row r="27">
      <c r="A27" t="n">
        <v>25</v>
      </c>
      <c r="B27">
        <f>Inputs!$B$4</f>
        <v/>
      </c>
      <c r="C27">
        <f>0</f>
        <v/>
      </c>
      <c r="D27">
        <f>0</f>
        <v/>
      </c>
      <c r="E27">
        <f>0</f>
        <v/>
      </c>
      <c r="F27">
        <f>0</f>
        <v/>
      </c>
      <c r="G27">
        <f>0</f>
        <v/>
      </c>
      <c r="H27">
        <f>0</f>
        <v/>
      </c>
      <c r="I27">
        <f>0</f>
        <v/>
      </c>
      <c r="J27">
        <f>0</f>
        <v/>
      </c>
      <c r="K27">
        <f>0</f>
        <v/>
      </c>
      <c r="L27">
        <f>0</f>
        <v/>
      </c>
      <c r="M27">
        <f>0</f>
        <v/>
      </c>
      <c r="N27">
        <f>0</f>
        <v/>
      </c>
      <c r="O27">
        <f>0</f>
        <v/>
      </c>
      <c r="P27">
        <f>0</f>
        <v/>
      </c>
      <c r="Q27">
        <f>0</f>
        <v/>
      </c>
      <c r="R27">
        <f>0</f>
        <v/>
      </c>
      <c r="S27">
        <f>0</f>
        <v/>
      </c>
      <c r="T27">
        <f>0</f>
        <v/>
      </c>
      <c r="U27">
        <f>0</f>
        <v/>
      </c>
      <c r="V27">
        <f>0</f>
        <v/>
      </c>
      <c r="W27">
        <f>0</f>
        <v/>
      </c>
      <c r="X27">
        <f>0</f>
        <v/>
      </c>
      <c r="Y27">
        <f>0</f>
        <v/>
      </c>
      <c r="Z27">
        <f>0</f>
        <v/>
      </c>
      <c r="AA27">
        <f>$B27*(1-Inputs!$B$5)^0</f>
        <v/>
      </c>
      <c r="AB27">
        <f>$B27*(1-Inputs!$B$5)^1</f>
        <v/>
      </c>
      <c r="AC27">
        <f>$B27*(1-Inputs!$B$5)^2</f>
        <v/>
      </c>
      <c r="AD27">
        <f>$B27*(1-Inputs!$B$5)^3</f>
        <v/>
      </c>
      <c r="AE27">
        <f>$B27*(1-Inputs!$B$5)^4</f>
        <v/>
      </c>
      <c r="AF27">
        <f>$B27*(1-Inputs!$B$5)^5</f>
        <v/>
      </c>
      <c r="AG27">
        <f>$B27*(1-Inputs!$B$5)^6</f>
        <v/>
      </c>
      <c r="AH27">
        <f>$B27*(1-Inputs!$B$5)^7</f>
        <v/>
      </c>
      <c r="AI27">
        <f>$B27*(1-Inputs!$B$5)^8</f>
        <v/>
      </c>
      <c r="AJ27">
        <f>$B27*(1-Inputs!$B$5)^9</f>
        <v/>
      </c>
      <c r="AK27">
        <f>$B27*(1-Inputs!$B$5)^10</f>
        <v/>
      </c>
      <c r="AL27">
        <f>$B27*(1-Inputs!$B$5)^11</f>
        <v/>
      </c>
    </row>
    <row r="28">
      <c r="A28" t="n">
        <v>26</v>
      </c>
      <c r="B28">
        <f>Inputs!$B$4</f>
        <v/>
      </c>
      <c r="C28">
        <f>0</f>
        <v/>
      </c>
      <c r="D28">
        <f>0</f>
        <v/>
      </c>
      <c r="E28">
        <f>0</f>
        <v/>
      </c>
      <c r="F28">
        <f>0</f>
        <v/>
      </c>
      <c r="G28">
        <f>0</f>
        <v/>
      </c>
      <c r="H28">
        <f>0</f>
        <v/>
      </c>
      <c r="I28">
        <f>0</f>
        <v/>
      </c>
      <c r="J28">
        <f>0</f>
        <v/>
      </c>
      <c r="K28">
        <f>0</f>
        <v/>
      </c>
      <c r="L28">
        <f>0</f>
        <v/>
      </c>
      <c r="M28">
        <f>0</f>
        <v/>
      </c>
      <c r="N28">
        <f>0</f>
        <v/>
      </c>
      <c r="O28">
        <f>0</f>
        <v/>
      </c>
      <c r="P28">
        <f>0</f>
        <v/>
      </c>
      <c r="Q28">
        <f>0</f>
        <v/>
      </c>
      <c r="R28">
        <f>0</f>
        <v/>
      </c>
      <c r="S28">
        <f>0</f>
        <v/>
      </c>
      <c r="T28">
        <f>0</f>
        <v/>
      </c>
      <c r="U28">
        <f>0</f>
        <v/>
      </c>
      <c r="V28">
        <f>0</f>
        <v/>
      </c>
      <c r="W28">
        <f>0</f>
        <v/>
      </c>
      <c r="X28">
        <f>0</f>
        <v/>
      </c>
      <c r="Y28">
        <f>0</f>
        <v/>
      </c>
      <c r="Z28">
        <f>0</f>
        <v/>
      </c>
      <c r="AA28">
        <f>0</f>
        <v/>
      </c>
      <c r="AB28">
        <f>$B28*(1-Inputs!$B$5)^0</f>
        <v/>
      </c>
      <c r="AC28">
        <f>$B28*(1-Inputs!$B$5)^1</f>
        <v/>
      </c>
      <c r="AD28">
        <f>$B28*(1-Inputs!$B$5)^2</f>
        <v/>
      </c>
      <c r="AE28">
        <f>$B28*(1-Inputs!$B$5)^3</f>
        <v/>
      </c>
      <c r="AF28">
        <f>$B28*(1-Inputs!$B$5)^4</f>
        <v/>
      </c>
      <c r="AG28">
        <f>$B28*(1-Inputs!$B$5)^5</f>
        <v/>
      </c>
      <c r="AH28">
        <f>$B28*(1-Inputs!$B$5)^6</f>
        <v/>
      </c>
      <c r="AI28">
        <f>$B28*(1-Inputs!$B$5)^7</f>
        <v/>
      </c>
      <c r="AJ28">
        <f>$B28*(1-Inputs!$B$5)^8</f>
        <v/>
      </c>
      <c r="AK28">
        <f>$B28*(1-Inputs!$B$5)^9</f>
        <v/>
      </c>
      <c r="AL28">
        <f>$B28*(1-Inputs!$B$5)^10</f>
        <v/>
      </c>
    </row>
    <row r="29">
      <c r="A29" t="n">
        <v>27</v>
      </c>
      <c r="B29">
        <f>Inputs!$B$4</f>
        <v/>
      </c>
      <c r="C29">
        <f>0</f>
        <v/>
      </c>
      <c r="D29">
        <f>0</f>
        <v/>
      </c>
      <c r="E29">
        <f>0</f>
        <v/>
      </c>
      <c r="F29">
        <f>0</f>
        <v/>
      </c>
      <c r="G29">
        <f>0</f>
        <v/>
      </c>
      <c r="H29">
        <f>0</f>
        <v/>
      </c>
      <c r="I29">
        <f>0</f>
        <v/>
      </c>
      <c r="J29">
        <f>0</f>
        <v/>
      </c>
      <c r="K29">
        <f>0</f>
        <v/>
      </c>
      <c r="L29">
        <f>0</f>
        <v/>
      </c>
      <c r="M29">
        <f>0</f>
        <v/>
      </c>
      <c r="N29">
        <f>0</f>
        <v/>
      </c>
      <c r="O29">
        <f>0</f>
        <v/>
      </c>
      <c r="P29">
        <f>0</f>
        <v/>
      </c>
      <c r="Q29">
        <f>0</f>
        <v/>
      </c>
      <c r="R29">
        <f>0</f>
        <v/>
      </c>
      <c r="S29">
        <f>0</f>
        <v/>
      </c>
      <c r="T29">
        <f>0</f>
        <v/>
      </c>
      <c r="U29">
        <f>0</f>
        <v/>
      </c>
      <c r="V29">
        <f>0</f>
        <v/>
      </c>
      <c r="W29">
        <f>0</f>
        <v/>
      </c>
      <c r="X29">
        <f>0</f>
        <v/>
      </c>
      <c r="Y29">
        <f>0</f>
        <v/>
      </c>
      <c r="Z29">
        <f>0</f>
        <v/>
      </c>
      <c r="AA29">
        <f>0</f>
        <v/>
      </c>
      <c r="AB29">
        <f>0</f>
        <v/>
      </c>
      <c r="AC29">
        <f>$B29*(1-Inputs!$B$5)^0</f>
        <v/>
      </c>
      <c r="AD29">
        <f>$B29*(1-Inputs!$B$5)^1</f>
        <v/>
      </c>
      <c r="AE29">
        <f>$B29*(1-Inputs!$B$5)^2</f>
        <v/>
      </c>
      <c r="AF29">
        <f>$B29*(1-Inputs!$B$5)^3</f>
        <v/>
      </c>
      <c r="AG29">
        <f>$B29*(1-Inputs!$B$5)^4</f>
        <v/>
      </c>
      <c r="AH29">
        <f>$B29*(1-Inputs!$B$5)^5</f>
        <v/>
      </c>
      <c r="AI29">
        <f>$B29*(1-Inputs!$B$5)^6</f>
        <v/>
      </c>
      <c r="AJ29">
        <f>$B29*(1-Inputs!$B$5)^7</f>
        <v/>
      </c>
      <c r="AK29">
        <f>$B29*(1-Inputs!$B$5)^8</f>
        <v/>
      </c>
      <c r="AL29">
        <f>$B29*(1-Inputs!$B$5)^9</f>
        <v/>
      </c>
    </row>
    <row r="30">
      <c r="A30" t="n">
        <v>28</v>
      </c>
      <c r="B30">
        <f>Inputs!$B$4</f>
        <v/>
      </c>
      <c r="C30">
        <f>0</f>
        <v/>
      </c>
      <c r="D30">
        <f>0</f>
        <v/>
      </c>
      <c r="E30">
        <f>0</f>
        <v/>
      </c>
      <c r="F30">
        <f>0</f>
        <v/>
      </c>
      <c r="G30">
        <f>0</f>
        <v/>
      </c>
      <c r="H30">
        <f>0</f>
        <v/>
      </c>
      <c r="I30">
        <f>0</f>
        <v/>
      </c>
      <c r="J30">
        <f>0</f>
        <v/>
      </c>
      <c r="K30">
        <f>0</f>
        <v/>
      </c>
      <c r="L30">
        <f>0</f>
        <v/>
      </c>
      <c r="M30">
        <f>0</f>
        <v/>
      </c>
      <c r="N30">
        <f>0</f>
        <v/>
      </c>
      <c r="O30">
        <f>0</f>
        <v/>
      </c>
      <c r="P30">
        <f>0</f>
        <v/>
      </c>
      <c r="Q30">
        <f>0</f>
        <v/>
      </c>
      <c r="R30">
        <f>0</f>
        <v/>
      </c>
      <c r="S30">
        <f>0</f>
        <v/>
      </c>
      <c r="T30">
        <f>0</f>
        <v/>
      </c>
      <c r="U30">
        <f>0</f>
        <v/>
      </c>
      <c r="V30">
        <f>0</f>
        <v/>
      </c>
      <c r="W30">
        <f>0</f>
        <v/>
      </c>
      <c r="X30">
        <f>0</f>
        <v/>
      </c>
      <c r="Y30">
        <f>0</f>
        <v/>
      </c>
      <c r="Z30">
        <f>0</f>
        <v/>
      </c>
      <c r="AA30">
        <f>0</f>
        <v/>
      </c>
      <c r="AB30">
        <f>0</f>
        <v/>
      </c>
      <c r="AC30">
        <f>0</f>
        <v/>
      </c>
      <c r="AD30">
        <f>$B30*(1-Inputs!$B$5)^0</f>
        <v/>
      </c>
      <c r="AE30">
        <f>$B30*(1-Inputs!$B$5)^1</f>
        <v/>
      </c>
      <c r="AF30">
        <f>$B30*(1-Inputs!$B$5)^2</f>
        <v/>
      </c>
      <c r="AG30">
        <f>$B30*(1-Inputs!$B$5)^3</f>
        <v/>
      </c>
      <c r="AH30">
        <f>$B30*(1-Inputs!$B$5)^4</f>
        <v/>
      </c>
      <c r="AI30">
        <f>$B30*(1-Inputs!$B$5)^5</f>
        <v/>
      </c>
      <c r="AJ30">
        <f>$B30*(1-Inputs!$B$5)^6</f>
        <v/>
      </c>
      <c r="AK30">
        <f>$B30*(1-Inputs!$B$5)^7</f>
        <v/>
      </c>
      <c r="AL30">
        <f>$B30*(1-Inputs!$B$5)^8</f>
        <v/>
      </c>
    </row>
    <row r="31">
      <c r="A31" t="n">
        <v>29</v>
      </c>
      <c r="B31">
        <f>Inputs!$B$4</f>
        <v/>
      </c>
      <c r="C31">
        <f>0</f>
        <v/>
      </c>
      <c r="D31">
        <f>0</f>
        <v/>
      </c>
      <c r="E31">
        <f>0</f>
        <v/>
      </c>
      <c r="F31">
        <f>0</f>
        <v/>
      </c>
      <c r="G31">
        <f>0</f>
        <v/>
      </c>
      <c r="H31">
        <f>0</f>
        <v/>
      </c>
      <c r="I31">
        <f>0</f>
        <v/>
      </c>
      <c r="J31">
        <f>0</f>
        <v/>
      </c>
      <c r="K31">
        <f>0</f>
        <v/>
      </c>
      <c r="L31">
        <f>0</f>
        <v/>
      </c>
      <c r="M31">
        <f>0</f>
        <v/>
      </c>
      <c r="N31">
        <f>0</f>
        <v/>
      </c>
      <c r="O31">
        <f>0</f>
        <v/>
      </c>
      <c r="P31">
        <f>0</f>
        <v/>
      </c>
      <c r="Q31">
        <f>0</f>
        <v/>
      </c>
      <c r="R31">
        <f>0</f>
        <v/>
      </c>
      <c r="S31">
        <f>0</f>
        <v/>
      </c>
      <c r="T31">
        <f>0</f>
        <v/>
      </c>
      <c r="U31">
        <f>0</f>
        <v/>
      </c>
      <c r="V31">
        <f>0</f>
        <v/>
      </c>
      <c r="W31">
        <f>0</f>
        <v/>
      </c>
      <c r="X31">
        <f>0</f>
        <v/>
      </c>
      <c r="Y31">
        <f>0</f>
        <v/>
      </c>
      <c r="Z31">
        <f>0</f>
        <v/>
      </c>
      <c r="AA31">
        <f>0</f>
        <v/>
      </c>
      <c r="AB31">
        <f>0</f>
        <v/>
      </c>
      <c r="AC31">
        <f>0</f>
        <v/>
      </c>
      <c r="AD31">
        <f>0</f>
        <v/>
      </c>
      <c r="AE31">
        <f>$B31*(1-Inputs!$B$5)^0</f>
        <v/>
      </c>
      <c r="AF31">
        <f>$B31*(1-Inputs!$B$5)^1</f>
        <v/>
      </c>
      <c r="AG31">
        <f>$B31*(1-Inputs!$B$5)^2</f>
        <v/>
      </c>
      <c r="AH31">
        <f>$B31*(1-Inputs!$B$5)^3</f>
        <v/>
      </c>
      <c r="AI31">
        <f>$B31*(1-Inputs!$B$5)^4</f>
        <v/>
      </c>
      <c r="AJ31">
        <f>$B31*(1-Inputs!$B$5)^5</f>
        <v/>
      </c>
      <c r="AK31">
        <f>$B31*(1-Inputs!$B$5)^6</f>
        <v/>
      </c>
      <c r="AL31">
        <f>$B31*(1-Inputs!$B$5)^7</f>
        <v/>
      </c>
    </row>
    <row r="32">
      <c r="A32" t="n">
        <v>30</v>
      </c>
      <c r="B32">
        <f>Inputs!$B$4</f>
        <v/>
      </c>
      <c r="C32">
        <f>0</f>
        <v/>
      </c>
      <c r="D32">
        <f>0</f>
        <v/>
      </c>
      <c r="E32">
        <f>0</f>
        <v/>
      </c>
      <c r="F32">
        <f>0</f>
        <v/>
      </c>
      <c r="G32">
        <f>0</f>
        <v/>
      </c>
      <c r="H32">
        <f>0</f>
        <v/>
      </c>
      <c r="I32">
        <f>0</f>
        <v/>
      </c>
      <c r="J32">
        <f>0</f>
        <v/>
      </c>
      <c r="K32">
        <f>0</f>
        <v/>
      </c>
      <c r="L32">
        <f>0</f>
        <v/>
      </c>
      <c r="M32">
        <f>0</f>
        <v/>
      </c>
      <c r="N32">
        <f>0</f>
        <v/>
      </c>
      <c r="O32">
        <f>0</f>
        <v/>
      </c>
      <c r="P32">
        <f>0</f>
        <v/>
      </c>
      <c r="Q32">
        <f>0</f>
        <v/>
      </c>
      <c r="R32">
        <f>0</f>
        <v/>
      </c>
      <c r="S32">
        <f>0</f>
        <v/>
      </c>
      <c r="T32">
        <f>0</f>
        <v/>
      </c>
      <c r="U32">
        <f>0</f>
        <v/>
      </c>
      <c r="V32">
        <f>0</f>
        <v/>
      </c>
      <c r="W32">
        <f>0</f>
        <v/>
      </c>
      <c r="X32">
        <f>0</f>
        <v/>
      </c>
      <c r="Y32">
        <f>0</f>
        <v/>
      </c>
      <c r="Z32">
        <f>0</f>
        <v/>
      </c>
      <c r="AA32">
        <f>0</f>
        <v/>
      </c>
      <c r="AB32">
        <f>0</f>
        <v/>
      </c>
      <c r="AC32">
        <f>0</f>
        <v/>
      </c>
      <c r="AD32">
        <f>0</f>
        <v/>
      </c>
      <c r="AE32">
        <f>0</f>
        <v/>
      </c>
      <c r="AF32">
        <f>$B32*(1-Inputs!$B$5)^0</f>
        <v/>
      </c>
      <c r="AG32">
        <f>$B32*(1-Inputs!$B$5)^1</f>
        <v/>
      </c>
      <c r="AH32">
        <f>$B32*(1-Inputs!$B$5)^2</f>
        <v/>
      </c>
      <c r="AI32">
        <f>$B32*(1-Inputs!$B$5)^3</f>
        <v/>
      </c>
      <c r="AJ32">
        <f>$B32*(1-Inputs!$B$5)^4</f>
        <v/>
      </c>
      <c r="AK32">
        <f>$B32*(1-Inputs!$B$5)^5</f>
        <v/>
      </c>
      <c r="AL32">
        <f>$B32*(1-Inputs!$B$5)^6</f>
        <v/>
      </c>
    </row>
    <row r="33">
      <c r="A33" t="n">
        <v>31</v>
      </c>
      <c r="B33">
        <f>Inputs!$B$4</f>
        <v/>
      </c>
      <c r="C33">
        <f>0</f>
        <v/>
      </c>
      <c r="D33">
        <f>0</f>
        <v/>
      </c>
      <c r="E33">
        <f>0</f>
        <v/>
      </c>
      <c r="F33">
        <f>0</f>
        <v/>
      </c>
      <c r="G33">
        <f>0</f>
        <v/>
      </c>
      <c r="H33">
        <f>0</f>
        <v/>
      </c>
      <c r="I33">
        <f>0</f>
        <v/>
      </c>
      <c r="J33">
        <f>0</f>
        <v/>
      </c>
      <c r="K33">
        <f>0</f>
        <v/>
      </c>
      <c r="L33">
        <f>0</f>
        <v/>
      </c>
      <c r="M33">
        <f>0</f>
        <v/>
      </c>
      <c r="N33">
        <f>0</f>
        <v/>
      </c>
      <c r="O33">
        <f>0</f>
        <v/>
      </c>
      <c r="P33">
        <f>0</f>
        <v/>
      </c>
      <c r="Q33">
        <f>0</f>
        <v/>
      </c>
      <c r="R33">
        <f>0</f>
        <v/>
      </c>
      <c r="S33">
        <f>0</f>
        <v/>
      </c>
      <c r="T33">
        <f>0</f>
        <v/>
      </c>
      <c r="U33">
        <f>0</f>
        <v/>
      </c>
      <c r="V33">
        <f>0</f>
        <v/>
      </c>
      <c r="W33">
        <f>0</f>
        <v/>
      </c>
      <c r="X33">
        <f>0</f>
        <v/>
      </c>
      <c r="Y33">
        <f>0</f>
        <v/>
      </c>
      <c r="Z33">
        <f>0</f>
        <v/>
      </c>
      <c r="AA33">
        <f>0</f>
        <v/>
      </c>
      <c r="AB33">
        <f>0</f>
        <v/>
      </c>
      <c r="AC33">
        <f>0</f>
        <v/>
      </c>
      <c r="AD33">
        <f>0</f>
        <v/>
      </c>
      <c r="AE33">
        <f>0</f>
        <v/>
      </c>
      <c r="AF33">
        <f>0</f>
        <v/>
      </c>
      <c r="AG33">
        <f>$B33*(1-Inputs!$B$5)^0</f>
        <v/>
      </c>
      <c r="AH33">
        <f>$B33*(1-Inputs!$B$5)^1</f>
        <v/>
      </c>
      <c r="AI33">
        <f>$B33*(1-Inputs!$B$5)^2</f>
        <v/>
      </c>
      <c r="AJ33">
        <f>$B33*(1-Inputs!$B$5)^3</f>
        <v/>
      </c>
      <c r="AK33">
        <f>$B33*(1-Inputs!$B$5)^4</f>
        <v/>
      </c>
      <c r="AL33">
        <f>$B33*(1-Inputs!$B$5)^5</f>
        <v/>
      </c>
    </row>
    <row r="34">
      <c r="A34" t="n">
        <v>32</v>
      </c>
      <c r="B34">
        <f>Inputs!$B$4</f>
        <v/>
      </c>
      <c r="C34">
        <f>0</f>
        <v/>
      </c>
      <c r="D34">
        <f>0</f>
        <v/>
      </c>
      <c r="E34">
        <f>0</f>
        <v/>
      </c>
      <c r="F34">
        <f>0</f>
        <v/>
      </c>
      <c r="G34">
        <f>0</f>
        <v/>
      </c>
      <c r="H34">
        <f>0</f>
        <v/>
      </c>
      <c r="I34">
        <f>0</f>
        <v/>
      </c>
      <c r="J34">
        <f>0</f>
        <v/>
      </c>
      <c r="K34">
        <f>0</f>
        <v/>
      </c>
      <c r="L34">
        <f>0</f>
        <v/>
      </c>
      <c r="M34">
        <f>0</f>
        <v/>
      </c>
      <c r="N34">
        <f>0</f>
        <v/>
      </c>
      <c r="O34">
        <f>0</f>
        <v/>
      </c>
      <c r="P34">
        <f>0</f>
        <v/>
      </c>
      <c r="Q34">
        <f>0</f>
        <v/>
      </c>
      <c r="R34">
        <f>0</f>
        <v/>
      </c>
      <c r="S34">
        <f>0</f>
        <v/>
      </c>
      <c r="T34">
        <f>0</f>
        <v/>
      </c>
      <c r="U34">
        <f>0</f>
        <v/>
      </c>
      <c r="V34">
        <f>0</f>
        <v/>
      </c>
      <c r="W34">
        <f>0</f>
        <v/>
      </c>
      <c r="X34">
        <f>0</f>
        <v/>
      </c>
      <c r="Y34">
        <f>0</f>
        <v/>
      </c>
      <c r="Z34">
        <f>0</f>
        <v/>
      </c>
      <c r="AA34">
        <f>0</f>
        <v/>
      </c>
      <c r="AB34">
        <f>0</f>
        <v/>
      </c>
      <c r="AC34">
        <f>0</f>
        <v/>
      </c>
      <c r="AD34">
        <f>0</f>
        <v/>
      </c>
      <c r="AE34">
        <f>0</f>
        <v/>
      </c>
      <c r="AF34">
        <f>0</f>
        <v/>
      </c>
      <c r="AG34">
        <f>0</f>
        <v/>
      </c>
      <c r="AH34">
        <f>$B34*(1-Inputs!$B$5)^0</f>
        <v/>
      </c>
      <c r="AI34">
        <f>$B34*(1-Inputs!$B$5)^1</f>
        <v/>
      </c>
      <c r="AJ34">
        <f>$B34*(1-Inputs!$B$5)^2</f>
        <v/>
      </c>
      <c r="AK34">
        <f>$B34*(1-Inputs!$B$5)^3</f>
        <v/>
      </c>
      <c r="AL34">
        <f>$B34*(1-Inputs!$B$5)^4</f>
        <v/>
      </c>
    </row>
    <row r="35">
      <c r="A35" t="n">
        <v>33</v>
      </c>
      <c r="B35">
        <f>Inputs!$B$4</f>
        <v/>
      </c>
      <c r="C35">
        <f>0</f>
        <v/>
      </c>
      <c r="D35">
        <f>0</f>
        <v/>
      </c>
      <c r="E35">
        <f>0</f>
        <v/>
      </c>
      <c r="F35">
        <f>0</f>
        <v/>
      </c>
      <c r="G35">
        <f>0</f>
        <v/>
      </c>
      <c r="H35">
        <f>0</f>
        <v/>
      </c>
      <c r="I35">
        <f>0</f>
        <v/>
      </c>
      <c r="J35">
        <f>0</f>
        <v/>
      </c>
      <c r="K35">
        <f>0</f>
        <v/>
      </c>
      <c r="L35">
        <f>0</f>
        <v/>
      </c>
      <c r="M35">
        <f>0</f>
        <v/>
      </c>
      <c r="N35">
        <f>0</f>
        <v/>
      </c>
      <c r="O35">
        <f>0</f>
        <v/>
      </c>
      <c r="P35">
        <f>0</f>
        <v/>
      </c>
      <c r="Q35">
        <f>0</f>
        <v/>
      </c>
      <c r="R35">
        <f>0</f>
        <v/>
      </c>
      <c r="S35">
        <f>0</f>
        <v/>
      </c>
      <c r="T35">
        <f>0</f>
        <v/>
      </c>
      <c r="U35">
        <f>0</f>
        <v/>
      </c>
      <c r="V35">
        <f>0</f>
        <v/>
      </c>
      <c r="W35">
        <f>0</f>
        <v/>
      </c>
      <c r="X35">
        <f>0</f>
        <v/>
      </c>
      <c r="Y35">
        <f>0</f>
        <v/>
      </c>
      <c r="Z35">
        <f>0</f>
        <v/>
      </c>
      <c r="AA35">
        <f>0</f>
        <v/>
      </c>
      <c r="AB35">
        <f>0</f>
        <v/>
      </c>
      <c r="AC35">
        <f>0</f>
        <v/>
      </c>
      <c r="AD35">
        <f>0</f>
        <v/>
      </c>
      <c r="AE35">
        <f>0</f>
        <v/>
      </c>
      <c r="AF35">
        <f>0</f>
        <v/>
      </c>
      <c r="AG35">
        <f>0</f>
        <v/>
      </c>
      <c r="AH35">
        <f>0</f>
        <v/>
      </c>
      <c r="AI35">
        <f>$B35*(1-Inputs!$B$5)^0</f>
        <v/>
      </c>
      <c r="AJ35">
        <f>$B35*(1-Inputs!$B$5)^1</f>
        <v/>
      </c>
      <c r="AK35">
        <f>$B35*(1-Inputs!$B$5)^2</f>
        <v/>
      </c>
      <c r="AL35">
        <f>$B35*(1-Inputs!$B$5)^3</f>
        <v/>
      </c>
    </row>
    <row r="36">
      <c r="A36" t="n">
        <v>34</v>
      </c>
      <c r="B36">
        <f>Inputs!$B$4</f>
        <v/>
      </c>
      <c r="C36">
        <f>0</f>
        <v/>
      </c>
      <c r="D36">
        <f>0</f>
        <v/>
      </c>
      <c r="E36">
        <f>0</f>
        <v/>
      </c>
      <c r="F36">
        <f>0</f>
        <v/>
      </c>
      <c r="G36">
        <f>0</f>
        <v/>
      </c>
      <c r="H36">
        <f>0</f>
        <v/>
      </c>
      <c r="I36">
        <f>0</f>
        <v/>
      </c>
      <c r="J36">
        <f>0</f>
        <v/>
      </c>
      <c r="K36">
        <f>0</f>
        <v/>
      </c>
      <c r="L36">
        <f>0</f>
        <v/>
      </c>
      <c r="M36">
        <f>0</f>
        <v/>
      </c>
      <c r="N36">
        <f>0</f>
        <v/>
      </c>
      <c r="O36">
        <f>0</f>
        <v/>
      </c>
      <c r="P36">
        <f>0</f>
        <v/>
      </c>
      <c r="Q36">
        <f>0</f>
        <v/>
      </c>
      <c r="R36">
        <f>0</f>
        <v/>
      </c>
      <c r="S36">
        <f>0</f>
        <v/>
      </c>
      <c r="T36">
        <f>0</f>
        <v/>
      </c>
      <c r="U36">
        <f>0</f>
        <v/>
      </c>
      <c r="V36">
        <f>0</f>
        <v/>
      </c>
      <c r="W36">
        <f>0</f>
        <v/>
      </c>
      <c r="X36">
        <f>0</f>
        <v/>
      </c>
      <c r="Y36">
        <f>0</f>
        <v/>
      </c>
      <c r="Z36">
        <f>0</f>
        <v/>
      </c>
      <c r="AA36">
        <f>0</f>
        <v/>
      </c>
      <c r="AB36">
        <f>0</f>
        <v/>
      </c>
      <c r="AC36">
        <f>0</f>
        <v/>
      </c>
      <c r="AD36">
        <f>0</f>
        <v/>
      </c>
      <c r="AE36">
        <f>0</f>
        <v/>
      </c>
      <c r="AF36">
        <f>0</f>
        <v/>
      </c>
      <c r="AG36">
        <f>0</f>
        <v/>
      </c>
      <c r="AH36">
        <f>0</f>
        <v/>
      </c>
      <c r="AI36">
        <f>0</f>
        <v/>
      </c>
      <c r="AJ36">
        <f>$B36*(1-Inputs!$B$5)^0</f>
        <v/>
      </c>
      <c r="AK36">
        <f>$B36*(1-Inputs!$B$5)^1</f>
        <v/>
      </c>
      <c r="AL36">
        <f>$B36*(1-Inputs!$B$5)^2</f>
        <v/>
      </c>
    </row>
    <row r="37">
      <c r="A37" t="n">
        <v>35</v>
      </c>
      <c r="B37">
        <f>Inputs!$B$4</f>
        <v/>
      </c>
      <c r="C37">
        <f>0</f>
        <v/>
      </c>
      <c r="D37">
        <f>0</f>
        <v/>
      </c>
      <c r="E37">
        <f>0</f>
        <v/>
      </c>
      <c r="F37">
        <f>0</f>
        <v/>
      </c>
      <c r="G37">
        <f>0</f>
        <v/>
      </c>
      <c r="H37">
        <f>0</f>
        <v/>
      </c>
      <c r="I37">
        <f>0</f>
        <v/>
      </c>
      <c r="J37">
        <f>0</f>
        <v/>
      </c>
      <c r="K37">
        <f>0</f>
        <v/>
      </c>
      <c r="L37">
        <f>0</f>
        <v/>
      </c>
      <c r="M37">
        <f>0</f>
        <v/>
      </c>
      <c r="N37">
        <f>0</f>
        <v/>
      </c>
      <c r="O37">
        <f>0</f>
        <v/>
      </c>
      <c r="P37">
        <f>0</f>
        <v/>
      </c>
      <c r="Q37">
        <f>0</f>
        <v/>
      </c>
      <c r="R37">
        <f>0</f>
        <v/>
      </c>
      <c r="S37">
        <f>0</f>
        <v/>
      </c>
      <c r="T37">
        <f>0</f>
        <v/>
      </c>
      <c r="U37">
        <f>0</f>
        <v/>
      </c>
      <c r="V37">
        <f>0</f>
        <v/>
      </c>
      <c r="W37">
        <f>0</f>
        <v/>
      </c>
      <c r="X37">
        <f>0</f>
        <v/>
      </c>
      <c r="Y37">
        <f>0</f>
        <v/>
      </c>
      <c r="Z37">
        <f>0</f>
        <v/>
      </c>
      <c r="AA37">
        <f>0</f>
        <v/>
      </c>
      <c r="AB37">
        <f>0</f>
        <v/>
      </c>
      <c r="AC37">
        <f>0</f>
        <v/>
      </c>
      <c r="AD37">
        <f>0</f>
        <v/>
      </c>
      <c r="AE37">
        <f>0</f>
        <v/>
      </c>
      <c r="AF37">
        <f>0</f>
        <v/>
      </c>
      <c r="AG37">
        <f>0</f>
        <v/>
      </c>
      <c r="AH37">
        <f>0</f>
        <v/>
      </c>
      <c r="AI37">
        <f>0</f>
        <v/>
      </c>
      <c r="AJ37">
        <f>0</f>
        <v/>
      </c>
      <c r="AK37">
        <f>$B37*(1-Inputs!$B$5)^0</f>
        <v/>
      </c>
      <c r="AL37">
        <f>$B37*(1-Inputs!$B$5)^1</f>
        <v/>
      </c>
    </row>
    <row r="38">
      <c r="A38" t="n">
        <v>36</v>
      </c>
      <c r="B38">
        <f>Inputs!$B$4</f>
        <v/>
      </c>
      <c r="C38">
        <f>0</f>
        <v/>
      </c>
      <c r="D38">
        <f>0</f>
        <v/>
      </c>
      <c r="E38">
        <f>0</f>
        <v/>
      </c>
      <c r="F38">
        <f>0</f>
        <v/>
      </c>
      <c r="G38">
        <f>0</f>
        <v/>
      </c>
      <c r="H38">
        <f>0</f>
        <v/>
      </c>
      <c r="I38">
        <f>0</f>
        <v/>
      </c>
      <c r="J38">
        <f>0</f>
        <v/>
      </c>
      <c r="K38">
        <f>0</f>
        <v/>
      </c>
      <c r="L38">
        <f>0</f>
        <v/>
      </c>
      <c r="M38">
        <f>0</f>
        <v/>
      </c>
      <c r="N38">
        <f>0</f>
        <v/>
      </c>
      <c r="O38">
        <f>0</f>
        <v/>
      </c>
      <c r="P38">
        <f>0</f>
        <v/>
      </c>
      <c r="Q38">
        <f>0</f>
        <v/>
      </c>
      <c r="R38">
        <f>0</f>
        <v/>
      </c>
      <c r="S38">
        <f>0</f>
        <v/>
      </c>
      <c r="T38">
        <f>0</f>
        <v/>
      </c>
      <c r="U38">
        <f>0</f>
        <v/>
      </c>
      <c r="V38">
        <f>0</f>
        <v/>
      </c>
      <c r="W38">
        <f>0</f>
        <v/>
      </c>
      <c r="X38">
        <f>0</f>
        <v/>
      </c>
      <c r="Y38">
        <f>0</f>
        <v/>
      </c>
      <c r="Z38">
        <f>0</f>
        <v/>
      </c>
      <c r="AA38">
        <f>0</f>
        <v/>
      </c>
      <c r="AB38">
        <f>0</f>
        <v/>
      </c>
      <c r="AC38">
        <f>0</f>
        <v/>
      </c>
      <c r="AD38">
        <f>0</f>
        <v/>
      </c>
      <c r="AE38">
        <f>0</f>
        <v/>
      </c>
      <c r="AF38">
        <f>0</f>
        <v/>
      </c>
      <c r="AG38">
        <f>0</f>
        <v/>
      </c>
      <c r="AH38">
        <f>0</f>
        <v/>
      </c>
      <c r="AI38">
        <f>0</f>
        <v/>
      </c>
      <c r="AJ38">
        <f>0</f>
        <v/>
      </c>
      <c r="AK38">
        <f>0</f>
        <v/>
      </c>
      <c r="AL38">
        <f>$B38*(1-Inputs!$B$5)^0</f>
        <v/>
      </c>
    </row>
  </sheetData>
  <autoFilter ref="A1:AL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All seeded amounts, rates, cohorts and thresholds are illustrative, not actual Semester results.</t>
        </is>
      </c>
    </row>
    <row r="2">
      <c r="A2" t="inlineStr">
        <is>
          <t>36 monthly expected-value periods; partner counts may be fractional.</t>
        </is>
      </c>
    </row>
    <row r="3">
      <c r="A3" t="inlineStr">
        <is>
          <t>GMV uses average beginning/end active partners; new and exited partners approximately mid-period.</t>
        </is>
      </c>
    </row>
    <row r="4">
      <c r="A4" t="inlineStr">
        <is>
          <t>Next Quarter means first three model months. Start defaults to November 2026; adjust to January 2027 for next calendar quarter.</t>
        </is>
      </c>
    </row>
    <row r="5">
      <c r="A5" t="inlineStr">
        <is>
          <t>Net fees are transaction fee projections, not recognized accounting revenue or settled cash.</t>
        </is>
      </c>
    </row>
    <row r="6">
      <c r="A6" t="inlineStr">
        <is>
          <t>ROI is program ROI from an assumed counterfactual; it is not demonstrated causal impact or partner-side ROI.</t>
        </is>
      </c>
    </row>
    <row r="7">
      <c r="A7" t="inlineStr">
        <is>
          <t>Scenario changes are independent: no estimated demand elasticity from take-rate changes.</t>
        </is>
      </c>
    </row>
    <row r="8">
      <c r="A8" t="inlineStr">
        <is>
          <t>Churn is partner exits / beginning cohort, not inactivity.</t>
        </is>
      </c>
    </row>
    <row r="9">
      <c r="A9" t="inlineStr">
        <is>
          <t>Excel formulas are not evaluated in this environment; open in Excel to calculate.</t>
        </is>
      </c>
    </row>
    <row r="10">
      <c r="A10" t="inlineStr">
        <is>
          <t>No live database link, alert delivery, deployment or migration was performed.</t>
        </is>
      </c>
    </row>
    <row r="11">
      <c r="A11" t="inlineStr">
        <is>
          <t>Cost model excludes financing, taxes and working capital; add approved assumptions before financial decisions.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2026-10-07T18:01:34Z</dcterms:created>
  <dcterms:modified xmlns:dcterms="http://purl.org/dc/terms/" xmlns:xsi="http://www.w3.org/2001/XMLSchema-instance" xsi:type="dcterms:W3CDTF">2026-10-07T18:01:34Z</dcterms:modified>
</cp:coreProperties>
</file>