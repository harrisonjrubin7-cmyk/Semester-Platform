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TAR Grades" sheetId="3" state="visible" r:id="rId3"/>
    <sheet xmlns:r="http://schemas.openxmlformats.org/officeDocument/2006/relationships" name="Weekly Tracker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'Read Me'!$A$1:$A$10</definedName>
    <definedName name="_xlnm._FilterDatabase" localSheetId="1" hidden="1">'Rubric'!$A$1:$G$5</definedName>
    <definedName name="_xlnm._FilterDatabase" localSheetId="2" hidden="1">'STAR Grades'!$A$1:$P$17</definedName>
    <definedName name="_xlnm._FilterDatabase" localSheetId="3" hidden="1">'Weekly Tracker'!$A$1:$P$17</definedName>
    <definedName name="_xlnm._FilterDatabase" localSheetId="4" hidden="1">'Dashboard'!$A$1:$B$10</definedName>
    <definedName name="_xlnm._FilterDatabase" localSheetId="5" hidden="1">'Sources'!$A$1:$B$6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3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Semester CS Interview Grading and Integration Planner</t>
        </is>
      </c>
    </row>
    <row r="2">
      <c r="A2" s="2" t="inlineStr">
        <is>
          <t>Template only: no actual students, vendor connections, or completed work.</t>
        </is>
      </c>
    </row>
    <row r="3">
      <c r="A3" s="2" t="inlineStr">
        <is>
          <t>Weights: Situation 20%, Task 25%, Action 35%, Result 20%. Each score is 0–4.</t>
        </is>
      </c>
    </row>
    <row r="4">
      <c r="A4" s="2" t="inlineStr">
        <is>
          <t>Enter all four scores for a total. Incomplete evaluations remain blank.</t>
        </is>
      </c>
    </row>
    <row r="5">
      <c r="A5" s="2" t="inlineStr">
        <is>
          <t>Qualitative results may earn full marks; numbers require a defensible basis.</t>
        </is>
      </c>
    </row>
    <row r="6">
      <c r="A6" s="2" t="inlineStr">
        <is>
          <t>AI recommendations are provisional; human instructors own official grades.</t>
        </is>
      </c>
    </row>
    <row r="7">
      <c r="A7" s="2" t="inlineStr">
        <is>
          <t>Submission is separate from appointment attendance and rubric approval.</t>
        </is>
      </c>
    </row>
    <row r="8">
      <c r="A8" s="2" t="inlineStr">
        <is>
          <t>One template learner, 16 weeks. Duplicate tracker/grading rows for a cohort.</t>
        </is>
      </c>
    </row>
    <row r="9">
      <c r="A9" s="2" t="inlineStr">
        <is>
          <t>Dashboard counts are calculated in Excel-compatible spreadsheet software.</t>
        </is>
      </c>
    </row>
    <row r="10">
      <c r="A10" s="2" t="inlineStr">
        <is>
          <t>Sharing links may expose videos; use authorized recipients and review privacy controls.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2" customWidth="1" min="4" max="4"/>
    <col width="30" customWidth="1" min="5" max="5"/>
    <col width="46" customWidth="1" min="6" max="6"/>
    <col width="49" customWidth="1" min="7" max="7"/>
  </cols>
  <sheetData>
    <row r="1">
      <c r="A1" s="1" t="inlineStr">
        <is>
          <t>Dimension</t>
        </is>
      </c>
      <c r="B1" s="1" t="inlineStr">
        <is>
          <t>Weight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</row>
    <row r="2">
      <c r="A2" s="2" t="inlineStr">
        <is>
          <t>Situation depth</t>
        </is>
      </c>
      <c r="B2" s="2" t="n">
        <v>20</v>
      </c>
      <c r="C2" s="2" t="inlineStr">
        <is>
          <t>No context</t>
        </is>
      </c>
      <c r="D2" s="2" t="inlineStr">
        <is>
          <t>Vague setting</t>
        </is>
      </c>
      <c r="E2" s="2" t="inlineStr">
        <is>
          <t>Basic context, gaps</t>
        </is>
      </c>
      <c r="F2" s="2" t="inlineStr">
        <is>
          <t>Relevant context and constraints</t>
        </is>
      </c>
      <c r="G2" s="2" t="inlineStr">
        <is>
          <t>Concise context, stakes, constraints</t>
        </is>
      </c>
    </row>
    <row r="3">
      <c r="A3" s="2" t="inlineStr">
        <is>
          <t>Task ownership</t>
        </is>
      </c>
      <c r="B3" s="2" t="n">
        <v>25</v>
      </c>
      <c r="C3" s="2" t="inlineStr">
        <is>
          <t>No responsibility</t>
        </is>
      </c>
      <c r="D3" s="2" t="inlineStr">
        <is>
          <t>Team goal only</t>
        </is>
      </c>
      <c r="E3" s="2" t="inlineStr">
        <is>
          <t>Partial personal role</t>
        </is>
      </c>
      <c r="F3" s="2" t="inlineStr">
        <is>
          <t>Clear responsibility</t>
        </is>
      </c>
      <c r="G3" s="2" t="inlineStr">
        <is>
          <t>Ownership, boundaries, team distinction</t>
        </is>
      </c>
    </row>
    <row r="4">
      <c r="A4" s="2" t="inlineStr">
        <is>
          <t>Action specificity</t>
        </is>
      </c>
      <c r="B4" s="2" t="n">
        <v>35</v>
      </c>
      <c r="C4" s="2" t="inlineStr">
        <is>
          <t>No actions</t>
        </is>
      </c>
      <c r="D4" s="2" t="inlineStr">
        <is>
          <t>Verb labels only</t>
        </is>
      </c>
      <c r="E4" s="2" t="inlineStr">
        <is>
          <t>Steps with unclear reasoning</t>
        </is>
      </c>
      <c r="F4" s="2" t="inlineStr">
        <is>
          <t>Personal steps and reasoning</t>
        </is>
      </c>
      <c r="G4" s="2" t="inlineStr">
        <is>
          <t>Sequenced steps, reasoning, tradeoffs</t>
        </is>
      </c>
    </row>
    <row r="5">
      <c r="A5" s="2" t="inlineStr">
        <is>
          <t>Result quality</t>
        </is>
      </c>
      <c r="B5" s="2" t="n">
        <v>20</v>
      </c>
      <c r="C5" s="2" t="inlineStr">
        <is>
          <t>No outcome</t>
        </is>
      </c>
      <c r="D5" s="2" t="inlineStr">
        <is>
          <t>Unsupported or vague</t>
        </is>
      </c>
      <c r="E5" s="2" t="inlineStr">
        <is>
          <t>Outcome basis unclear</t>
        </is>
      </c>
      <c r="F5" s="2" t="inlineStr">
        <is>
          <t>Grounded qualitative or quantitative outcome</t>
        </is>
      </c>
      <c r="G5" s="2" t="inlineStr">
        <is>
          <t>Grounded outcome, attribution, limits, learning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5" customWidth="1" min="8" max="8"/>
    <col width="16" customWidth="1" min="9" max="9"/>
    <col width="16" customWidth="1" min="10" max="10"/>
    <col width="16" customWidth="1" min="11" max="11"/>
    <col width="23" customWidth="1" min="12" max="12"/>
    <col width="37" customWidth="1" min="13" max="13"/>
    <col width="16" customWidth="1" min="14" max="14"/>
    <col width="17" customWidth="1" min="15" max="15"/>
    <col width="16" customWidth="1" min="16" max="16"/>
  </cols>
  <sheetData>
    <row r="1">
      <c r="A1" s="1" t="inlineStr">
        <is>
          <t>Learner key</t>
        </is>
      </c>
      <c r="B1" s="1" t="inlineStr">
        <is>
          <t>Week</t>
        </is>
      </c>
      <c r="C1" s="1" t="inlineStr">
        <is>
          <t>Story ID</t>
        </is>
      </c>
      <c r="D1" s="1" t="inlineStr">
        <is>
          <t>Situation 0-4</t>
        </is>
      </c>
      <c r="E1" s="1" t="inlineStr">
        <is>
          <t>Task 0-4</t>
        </is>
      </c>
      <c r="F1" s="1" t="inlineStr">
        <is>
          <t>Action 0-4</t>
        </is>
      </c>
      <c r="G1" s="1" t="inlineStr">
        <is>
          <t>Result 0-4</t>
        </is>
      </c>
      <c r="H1" s="1" t="inlineStr">
        <is>
          <t>Weighted /100</t>
        </is>
      </c>
      <c r="I1" s="1" t="inlineStr">
        <is>
          <t>Reviewer type</t>
        </is>
      </c>
      <c r="J1" s="1" t="inlineStr">
        <is>
          <t>Review state</t>
        </is>
      </c>
      <c r="K1" s="1" t="inlineStr">
        <is>
          <t>Claim status</t>
        </is>
      </c>
      <c r="L1" s="1" t="inlineStr">
        <is>
          <t>Supporting quotations</t>
        </is>
      </c>
      <c r="M1" s="1" t="inlineStr">
        <is>
          <t>Metric basis or qualitative outcome</t>
        </is>
      </c>
      <c r="N1" s="1" t="inlineStr">
        <is>
          <t>Feedback</t>
        </is>
      </c>
      <c r="O1" s="1" t="inlineStr">
        <is>
          <t>Retry reference</t>
        </is>
      </c>
      <c r="P1" s="1" t="inlineStr">
        <is>
          <t>Final approver</t>
        </is>
      </c>
    </row>
    <row r="2">
      <c r="A2" s="2" t="inlineStr"/>
      <c r="B2" s="2" t="n">
        <v>1</v>
      </c>
      <c r="C2" s="2" t="inlineStr"/>
      <c r="D2" s="2" t="inlineStr"/>
      <c r="E2" s="2" t="inlineStr"/>
      <c r="F2" s="2" t="inlineStr"/>
      <c r="G2" s="2" t="inlineStr"/>
      <c r="H2" s="2">
        <f>IF(COUNT(D2:G2)=4,SUMPRODUCT(D2:G2,Rubric!$B$2:$B$5)/4,"")</f>
        <v/>
      </c>
      <c r="I2" s="2" t="inlineStr"/>
      <c r="J2" s="2" t="inlineStr">
        <is>
          <t>Not started</t>
        </is>
      </c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/>
      <c r="B3" s="2" t="n">
        <v>2</v>
      </c>
      <c r="C3" s="2" t="inlineStr"/>
      <c r="D3" s="2" t="inlineStr"/>
      <c r="E3" s="2" t="inlineStr"/>
      <c r="F3" s="2" t="inlineStr"/>
      <c r="G3" s="2" t="inlineStr"/>
      <c r="H3" s="2">
        <f>IF(COUNT(D3:G3)=4,SUMPRODUCT(D3:G3,Rubric!$B$2:$B$5)/4,"")</f>
        <v/>
      </c>
      <c r="I3" s="2" t="inlineStr"/>
      <c r="J3" s="2" t="inlineStr">
        <is>
          <t>Not started</t>
        </is>
      </c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/>
      <c r="B4" s="2" t="n">
        <v>3</v>
      </c>
      <c r="C4" s="2" t="inlineStr"/>
      <c r="D4" s="2" t="inlineStr"/>
      <c r="E4" s="2" t="inlineStr"/>
      <c r="F4" s="2" t="inlineStr"/>
      <c r="G4" s="2" t="inlineStr"/>
      <c r="H4" s="2">
        <f>IF(COUNT(D4:G4)=4,SUMPRODUCT(D4:G4,Rubric!$B$2:$B$5)/4,"")</f>
        <v/>
      </c>
      <c r="I4" s="2" t="inlineStr"/>
      <c r="J4" s="2" t="inlineStr">
        <is>
          <t>Not started</t>
        </is>
      </c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/>
      <c r="B5" s="2" t="n">
        <v>4</v>
      </c>
      <c r="C5" s="2" t="inlineStr"/>
      <c r="D5" s="2" t="inlineStr"/>
      <c r="E5" s="2" t="inlineStr"/>
      <c r="F5" s="2" t="inlineStr"/>
      <c r="G5" s="2" t="inlineStr"/>
      <c r="H5" s="2">
        <f>IF(COUNT(D5:G5)=4,SUMPRODUCT(D5:G5,Rubric!$B$2:$B$5)/4,"")</f>
        <v/>
      </c>
      <c r="I5" s="2" t="inlineStr"/>
      <c r="J5" s="2" t="inlineStr">
        <is>
          <t>Not started</t>
        </is>
      </c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/>
      <c r="B6" s="2" t="n">
        <v>5</v>
      </c>
      <c r="C6" s="2" t="inlineStr"/>
      <c r="D6" s="2" t="inlineStr"/>
      <c r="E6" s="2" t="inlineStr"/>
      <c r="F6" s="2" t="inlineStr"/>
      <c r="G6" s="2" t="inlineStr"/>
      <c r="H6" s="2">
        <f>IF(COUNT(D6:G6)=4,SUMPRODUCT(D6:G6,Rubric!$B$2:$B$5)/4,"")</f>
        <v/>
      </c>
      <c r="I6" s="2" t="inlineStr"/>
      <c r="J6" s="2" t="inlineStr">
        <is>
          <t>Not started</t>
        </is>
      </c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n">
        <v>6</v>
      </c>
      <c r="C7" s="2" t="inlineStr"/>
      <c r="D7" s="2" t="inlineStr"/>
      <c r="E7" s="2" t="inlineStr"/>
      <c r="F7" s="2" t="inlineStr"/>
      <c r="G7" s="2" t="inlineStr"/>
      <c r="H7" s="2">
        <f>IF(COUNT(D7:G7)=4,SUMPRODUCT(D7:G7,Rubric!$B$2:$B$5)/4,"")</f>
        <v/>
      </c>
      <c r="I7" s="2" t="inlineStr"/>
      <c r="J7" s="2" t="inlineStr">
        <is>
          <t>Not started</t>
        </is>
      </c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n">
        <v>7</v>
      </c>
      <c r="C8" s="2" t="inlineStr"/>
      <c r="D8" s="2" t="inlineStr"/>
      <c r="E8" s="2" t="inlineStr"/>
      <c r="F8" s="2" t="inlineStr"/>
      <c r="G8" s="2" t="inlineStr"/>
      <c r="H8" s="2">
        <f>IF(COUNT(D8:G8)=4,SUMPRODUCT(D8:G8,Rubric!$B$2:$B$5)/4,"")</f>
        <v/>
      </c>
      <c r="I8" s="2" t="inlineStr"/>
      <c r="J8" s="2" t="inlineStr">
        <is>
          <t>Not started</t>
        </is>
      </c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n">
        <v>8</v>
      </c>
      <c r="C9" s="2" t="inlineStr"/>
      <c r="D9" s="2" t="inlineStr"/>
      <c r="E9" s="2" t="inlineStr"/>
      <c r="F9" s="2" t="inlineStr"/>
      <c r="G9" s="2" t="inlineStr"/>
      <c r="H9" s="2">
        <f>IF(COUNT(D9:G9)=4,SUMPRODUCT(D9:G9,Rubric!$B$2:$B$5)/4,"")</f>
        <v/>
      </c>
      <c r="I9" s="2" t="inlineStr"/>
      <c r="J9" s="2" t="inlineStr">
        <is>
          <t>Not started</t>
        </is>
      </c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/>
      <c r="B10" s="2" t="n">
        <v>9</v>
      </c>
      <c r="C10" s="2" t="inlineStr"/>
      <c r="D10" s="2" t="inlineStr"/>
      <c r="E10" s="2" t="inlineStr"/>
      <c r="F10" s="2" t="inlineStr"/>
      <c r="G10" s="2" t="inlineStr"/>
      <c r="H10" s="2">
        <f>IF(COUNT(D10:G10)=4,SUMPRODUCT(D10:G10,Rubric!$B$2:$B$5)/4,"")</f>
        <v/>
      </c>
      <c r="I10" s="2" t="inlineStr"/>
      <c r="J10" s="2" t="inlineStr">
        <is>
          <t>Not started</t>
        </is>
      </c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/>
      <c r="B11" s="2" t="n">
        <v>10</v>
      </c>
      <c r="C11" s="2" t="inlineStr"/>
      <c r="D11" s="2" t="inlineStr"/>
      <c r="E11" s="2" t="inlineStr"/>
      <c r="F11" s="2" t="inlineStr"/>
      <c r="G11" s="2" t="inlineStr"/>
      <c r="H11" s="2">
        <f>IF(COUNT(D11:G11)=4,SUMPRODUCT(D11:G11,Rubric!$B$2:$B$5)/4,"")</f>
        <v/>
      </c>
      <c r="I11" s="2" t="inlineStr"/>
      <c r="J11" s="2" t="inlineStr">
        <is>
          <t>Not started</t>
        </is>
      </c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/>
      <c r="B12" s="2" t="n">
        <v>11</v>
      </c>
      <c r="C12" s="2" t="inlineStr"/>
      <c r="D12" s="2" t="inlineStr"/>
      <c r="E12" s="2" t="inlineStr"/>
      <c r="F12" s="2" t="inlineStr"/>
      <c r="G12" s="2" t="inlineStr"/>
      <c r="H12" s="2">
        <f>IF(COUNT(D12:G12)=4,SUMPRODUCT(D12:G12,Rubric!$B$2:$B$5)/4,"")</f>
        <v/>
      </c>
      <c r="I12" s="2" t="inlineStr"/>
      <c r="J12" s="2" t="inlineStr">
        <is>
          <t>Not started</t>
        </is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/>
      <c r="B13" s="2" t="n">
        <v>12</v>
      </c>
      <c r="C13" s="2" t="inlineStr"/>
      <c r="D13" s="2" t="inlineStr"/>
      <c r="E13" s="2" t="inlineStr"/>
      <c r="F13" s="2" t="inlineStr"/>
      <c r="G13" s="2" t="inlineStr"/>
      <c r="H13" s="2">
        <f>IF(COUNT(D13:G13)=4,SUMPRODUCT(D13:G13,Rubric!$B$2:$B$5)/4,"")</f>
        <v/>
      </c>
      <c r="I13" s="2" t="inlineStr"/>
      <c r="J13" s="2" t="inlineStr">
        <is>
          <t>Not started</t>
        </is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/>
      <c r="B14" s="2" t="n">
        <v>13</v>
      </c>
      <c r="C14" s="2" t="inlineStr"/>
      <c r="D14" s="2" t="inlineStr"/>
      <c r="E14" s="2" t="inlineStr"/>
      <c r="F14" s="2" t="inlineStr"/>
      <c r="G14" s="2" t="inlineStr"/>
      <c r="H14" s="2">
        <f>IF(COUNT(D14:G14)=4,SUMPRODUCT(D14:G14,Rubric!$B$2:$B$5)/4,"")</f>
        <v/>
      </c>
      <c r="I14" s="2" t="inlineStr"/>
      <c r="J14" s="2" t="inlineStr">
        <is>
          <t>Not started</t>
        </is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/>
      <c r="B15" s="2" t="n">
        <v>14</v>
      </c>
      <c r="C15" s="2" t="inlineStr"/>
      <c r="D15" s="2" t="inlineStr"/>
      <c r="E15" s="2" t="inlineStr"/>
      <c r="F15" s="2" t="inlineStr"/>
      <c r="G15" s="2" t="inlineStr"/>
      <c r="H15" s="2">
        <f>IF(COUNT(D15:G15)=4,SUMPRODUCT(D15:G15,Rubric!$B$2:$B$5)/4,"")</f>
        <v/>
      </c>
      <c r="I15" s="2" t="inlineStr"/>
      <c r="J15" s="2" t="inlineStr">
        <is>
          <t>Not started</t>
        </is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/>
      <c r="B16" s="2" t="n">
        <v>15</v>
      </c>
      <c r="C16" s="2" t="inlineStr"/>
      <c r="D16" s="2" t="inlineStr"/>
      <c r="E16" s="2" t="inlineStr"/>
      <c r="F16" s="2" t="inlineStr"/>
      <c r="G16" s="2" t="inlineStr"/>
      <c r="H16" s="2">
        <f>IF(COUNT(D16:G16)=4,SUMPRODUCT(D16:G16,Rubric!$B$2:$B$5)/4,"")</f>
        <v/>
      </c>
      <c r="I16" s="2" t="inlineStr"/>
      <c r="J16" s="2" t="inlineStr">
        <is>
          <t>Not started</t>
        </is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/>
      <c r="B17" s="2" t="n">
        <v>16</v>
      </c>
      <c r="C17" s="2" t="inlineStr"/>
      <c r="D17" s="2" t="inlineStr"/>
      <c r="E17" s="2" t="inlineStr"/>
      <c r="F17" s="2" t="inlineStr"/>
      <c r="G17" s="2" t="inlineStr"/>
      <c r="H17" s="2">
        <f>IF(COUNT(D17:G17)=4,SUMPRODUCT(D17:G17,Rubric!$B$2:$B$5)/4,"")</f>
        <v/>
      </c>
      <c r="I17" s="2" t="inlineStr"/>
      <c r="J17" s="2" t="inlineStr">
        <is>
          <t>Not started</t>
        </is>
      </c>
      <c r="K17" s="2" t="inlineStr"/>
      <c r="L17" s="2" t="inlineStr"/>
      <c r="M17" s="2" t="inlineStr"/>
      <c r="N17" s="2" t="inlineStr"/>
      <c r="O17" s="2" t="inlineStr"/>
      <c r="P17" s="2" t="inlineStr"/>
    </row>
  </sheetData>
  <autoFilter ref="A1:P17"/>
  <dataValidations count="2">
    <dataValidation sqref="D2:G17" showDropDown="0" showInputMessage="0" showErrorMessage="1" allowBlank="0" errorTitle="Use 0–4" error="Enter a score between 0 and 4." type="decimal" operator="between">
      <formula1>0</formula1>
      <formula2>4</formula2>
    </dataValidation>
    <dataValidation sqref="J2:J17" showDropDown="0" showInputMessage="0" showErrorMessage="0" allowBlank="0" type="list">
      <formula1>"Not started,AI provisional,Human review,Final approved,Appealed"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21" customWidth="1" min="4" max="4"/>
    <col width="34" customWidth="1" min="5" max="5"/>
    <col width="22" customWidth="1" min="6" max="6"/>
    <col width="20" customWidth="1" min="7" max="7"/>
    <col width="18" customWidth="1" min="8" max="8"/>
    <col width="30" customWidth="1" min="9" max="9"/>
    <col width="19" customWidth="1" min="10" max="10"/>
    <col width="21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Learner key</t>
        </is>
      </c>
      <c r="B1" s="1" t="inlineStr">
        <is>
          <t>Week</t>
        </is>
      </c>
      <c r="C1" s="1" t="inlineStr">
        <is>
          <t>Module</t>
        </is>
      </c>
      <c r="D1" s="1" t="inlineStr">
        <is>
          <t>Semester assignment</t>
        </is>
      </c>
      <c r="E1" s="1" t="inlineStr">
        <is>
          <t>Big Interview milestone</t>
        </is>
      </c>
      <c r="F1" s="1" t="inlineStr">
        <is>
          <t>Vendor assignment ID</t>
        </is>
      </c>
      <c r="G1" s="1" t="inlineStr">
        <is>
          <t>Evidence reference</t>
        </is>
      </c>
      <c r="H1" s="1" t="inlineStr">
        <is>
          <t>Submission state</t>
        </is>
      </c>
      <c r="I1" s="1" t="inlineStr">
        <is>
          <t>Coach milestone</t>
        </is>
      </c>
      <c r="J1" s="1" t="inlineStr">
        <is>
          <t>Appointment state</t>
        </is>
      </c>
      <c r="K1" s="1" t="inlineStr">
        <is>
          <t>Attendance verified</t>
        </is>
      </c>
      <c r="L1" s="1" t="inlineStr">
        <is>
          <t>Rubric state</t>
        </is>
      </c>
      <c r="M1" s="1" t="inlineStr">
        <is>
          <t>Due date</t>
        </is>
      </c>
      <c r="N1" s="1" t="inlineStr">
        <is>
          <t>Submitted date</t>
        </is>
      </c>
      <c r="O1" s="1" t="inlineStr">
        <is>
          <t>Owner</t>
        </is>
      </c>
      <c r="P1" s="1" t="inlineStr">
        <is>
          <t>Blocker</t>
        </is>
      </c>
    </row>
    <row r="2">
      <c r="A2" s="2" t="inlineStr"/>
      <c r="B2" s="2" t="n">
        <v>1</v>
      </c>
      <c r="C2" s="2" t="inlineStr">
        <is>
          <t>Baseline + arrays</t>
        </is>
      </c>
      <c r="D2" s="2" t="inlineStr">
        <is>
          <t>W01</t>
        </is>
      </c>
      <c r="E2" s="2" t="inlineStr">
        <is>
          <t>Fast Track baseline</t>
        </is>
      </c>
      <c r="F2" s="2" t="inlineStr"/>
      <c r="G2" s="2" t="inlineStr"/>
      <c r="H2" s="2" t="inlineStr">
        <is>
          <t>Not started</t>
        </is>
      </c>
      <c r="I2" s="2" t="inlineStr">
        <is>
          <t>Check access</t>
        </is>
      </c>
      <c r="J2" s="2" t="inlineStr">
        <is>
          <t>Not requested</t>
        </is>
      </c>
      <c r="K2" s="2" t="inlineStr">
        <is>
          <t>No</t>
        </is>
      </c>
      <c r="L2" s="2" t="inlineStr">
        <is>
          <t>Not started</t>
        </is>
      </c>
      <c r="M2" s="2" t="inlineStr"/>
      <c r="N2" s="2" t="inlineStr"/>
      <c r="O2" s="2" t="inlineStr"/>
      <c r="P2" s="2" t="inlineStr"/>
    </row>
    <row r="3">
      <c r="A3" s="2" t="inlineStr"/>
      <c r="B3" s="2" t="n">
        <v>2</v>
      </c>
      <c r="C3" s="2" t="inlineStr">
        <is>
          <t>Hash maps + ownership</t>
        </is>
      </c>
      <c r="D3" s="2" t="inlineStr">
        <is>
          <t>W02</t>
        </is>
      </c>
      <c r="E3" s="2" t="inlineStr">
        <is>
          <t>Interview Prep + Answer Builder</t>
        </is>
      </c>
      <c r="F3" s="2" t="inlineStr"/>
      <c r="G3" s="2" t="inlineStr"/>
      <c r="H3" s="2" t="inlineStr">
        <is>
          <t>Not started</t>
        </is>
      </c>
      <c r="I3" s="2" t="inlineStr">
        <is>
          <t>Request initial review</t>
        </is>
      </c>
      <c r="J3" s="2" t="inlineStr">
        <is>
          <t>Not requested</t>
        </is>
      </c>
      <c r="K3" s="2" t="inlineStr">
        <is>
          <t>No</t>
        </is>
      </c>
      <c r="L3" s="2" t="inlineStr">
        <is>
          <t>Not started</t>
        </is>
      </c>
      <c r="M3" s="2" t="inlineStr"/>
      <c r="N3" s="2" t="inlineStr"/>
      <c r="O3" s="2" t="inlineStr"/>
      <c r="P3" s="2" t="inlineStr"/>
    </row>
    <row r="4">
      <c r="A4" s="2" t="inlineStr"/>
      <c r="B4" s="2" t="n">
        <v>3</v>
      </c>
      <c r="C4" s="2" t="inlineStr">
        <is>
          <t>Stacks + problem solving</t>
        </is>
      </c>
      <c r="D4" s="2" t="inlineStr">
        <is>
          <t>W03</t>
        </is>
      </c>
      <c r="E4" s="2" t="inlineStr">
        <is>
          <t>Behavioral practice</t>
        </is>
      </c>
      <c r="F4" s="2" t="inlineStr"/>
      <c r="G4" s="2" t="inlineStr"/>
      <c r="H4" s="2" t="inlineStr">
        <is>
          <t>Not started</t>
        </is>
      </c>
      <c r="I4" s="2" t="inlineStr">
        <is>
          <t>Check confirmation</t>
        </is>
      </c>
      <c r="J4" s="2" t="inlineStr">
        <is>
          <t>Not requested</t>
        </is>
      </c>
      <c r="K4" s="2" t="inlineStr">
        <is>
          <t>No</t>
        </is>
      </c>
      <c r="L4" s="2" t="inlineStr">
        <is>
          <t>Not started</t>
        </is>
      </c>
      <c r="M4" s="2" t="inlineStr"/>
      <c r="N4" s="2" t="inlineStr"/>
      <c r="O4" s="2" t="inlineStr"/>
      <c r="P4" s="2" t="inlineStr"/>
    </row>
    <row r="5">
      <c r="A5" s="2" t="inlineStr"/>
      <c r="B5" s="2" t="n">
        <v>4</v>
      </c>
      <c r="C5" s="2" t="inlineStr">
        <is>
          <t>Debugging + foundation mock</t>
        </is>
      </c>
      <c r="D5" s="2" t="inlineStr">
        <is>
          <t>W04</t>
        </is>
      </c>
      <c r="E5" s="2" t="inlineStr">
        <is>
          <t>Assignment A: foundation</t>
        </is>
      </c>
      <c r="F5" s="2" t="inlineStr"/>
      <c r="G5" s="2" t="inlineStr"/>
      <c r="H5" s="2" t="inlineStr">
        <is>
          <t>Not started</t>
        </is>
      </c>
      <c r="I5" s="2" t="inlineStr">
        <is>
          <t>Plan week-8 mock</t>
        </is>
      </c>
      <c r="J5" s="2" t="inlineStr">
        <is>
          <t>Not requested</t>
        </is>
      </c>
      <c r="K5" s="2" t="inlineStr">
        <is>
          <t>No</t>
        </is>
      </c>
      <c r="L5" s="2" t="inlineStr">
        <is>
          <t>Not started</t>
        </is>
      </c>
      <c r="M5" s="2" t="inlineStr"/>
      <c r="N5" s="2" t="inlineStr"/>
      <c r="O5" s="2" t="inlineStr"/>
      <c r="P5" s="2" t="inlineStr"/>
    </row>
    <row r="6">
      <c r="A6" s="2" t="inlineStr"/>
      <c r="B6" s="2" t="n">
        <v>5</v>
      </c>
      <c r="C6" s="2" t="inlineStr">
        <is>
          <t>Action specificity</t>
        </is>
      </c>
      <c r="D6" s="2" t="inlineStr">
        <is>
          <t>W05</t>
        </is>
      </c>
      <c r="E6" s="2" t="inlineStr">
        <is>
          <t>Assignment B: action</t>
        </is>
      </c>
      <c r="F6" s="2" t="inlineStr"/>
      <c r="G6" s="2" t="inlineStr"/>
      <c r="H6" s="2" t="inlineStr">
        <is>
          <t>Not started</t>
        </is>
      </c>
      <c r="I6" s="2" t="inlineStr">
        <is>
          <t>Prepare goals</t>
        </is>
      </c>
      <c r="J6" s="2" t="inlineStr">
        <is>
          <t>Not requested</t>
        </is>
      </c>
      <c r="K6" s="2" t="inlineStr">
        <is>
          <t>No</t>
        </is>
      </c>
      <c r="L6" s="2" t="inlineStr">
        <is>
          <t>Not started</t>
        </is>
      </c>
      <c r="M6" s="2" t="inlineStr"/>
      <c r="N6" s="2" t="inlineStr"/>
      <c r="O6" s="2" t="inlineStr"/>
      <c r="P6" s="2" t="inlineStr"/>
    </row>
    <row r="7">
      <c r="A7" s="2" t="inlineStr"/>
      <c r="B7" s="2" t="n">
        <v>6</v>
      </c>
      <c r="C7" s="2" t="inlineStr">
        <is>
          <t>Results + measurement audit</t>
        </is>
      </c>
      <c r="D7" s="2" t="inlineStr">
        <is>
          <t>W06</t>
        </is>
      </c>
      <c r="E7" s="2" t="inlineStr">
        <is>
          <t>Result revisions</t>
        </is>
      </c>
      <c r="F7" s="2" t="inlineStr"/>
      <c r="G7" s="2" t="inlineStr"/>
      <c r="H7" s="2" t="inlineStr">
        <is>
          <t>Not started</t>
        </is>
      </c>
      <c r="I7" s="2" t="inlineStr">
        <is>
          <t>Request/confirm mock I</t>
        </is>
      </c>
      <c r="J7" s="2" t="inlineStr">
        <is>
          <t>Not requested</t>
        </is>
      </c>
      <c r="K7" s="2" t="inlineStr">
        <is>
          <t>No</t>
        </is>
      </c>
      <c r="L7" s="2" t="inlineStr">
        <is>
          <t>Not started</t>
        </is>
      </c>
      <c r="M7" s="2" t="inlineStr"/>
      <c r="N7" s="2" t="inlineStr"/>
      <c r="O7" s="2" t="inlineStr"/>
      <c r="P7" s="2" t="inlineStr"/>
    </row>
    <row r="8">
      <c r="A8" s="2" t="inlineStr"/>
      <c r="B8" s="2" t="n">
        <v>7</v>
      </c>
      <c r="C8" s="2" t="inlineStr">
        <is>
          <t>Resume + portfolio</t>
        </is>
      </c>
      <c r="D8" s="2" t="inlineStr">
        <is>
          <t>W07</t>
        </is>
      </c>
      <c r="E8" s="2" t="inlineStr">
        <is>
          <t>Resume Curriculum if licensed</t>
        </is>
      </c>
      <c r="F8" s="2" t="inlineStr"/>
      <c r="G8" s="2" t="inlineStr"/>
      <c r="H8" s="2" t="inlineStr">
        <is>
          <t>Not started</t>
        </is>
      </c>
      <c r="I8" s="2" t="inlineStr">
        <is>
          <t>Share approved materials</t>
        </is>
      </c>
      <c r="J8" s="2" t="inlineStr">
        <is>
          <t>Not requested</t>
        </is>
      </c>
      <c r="K8" s="2" t="inlineStr">
        <is>
          <t>No</t>
        </is>
      </c>
      <c r="L8" s="2" t="inlineStr">
        <is>
          <t>Not started</t>
        </is>
      </c>
      <c r="M8" s="2" t="inlineStr"/>
      <c r="N8" s="2" t="inlineStr"/>
      <c r="O8" s="2" t="inlineStr"/>
      <c r="P8" s="2" t="inlineStr"/>
    </row>
    <row r="9">
      <c r="A9" s="2" t="inlineStr"/>
      <c r="B9" s="2" t="n">
        <v>8</v>
      </c>
      <c r="C9" s="2" t="inlineStr">
        <is>
          <t>Human mock I</t>
        </is>
      </c>
      <c r="D9" s="2" t="inlineStr">
        <is>
          <t>W08</t>
        </is>
      </c>
      <c r="E9" s="2" t="inlineStr">
        <is>
          <t>Pre-mock practice</t>
        </is>
      </c>
      <c r="F9" s="2" t="inlineStr"/>
      <c r="G9" s="2" t="inlineStr"/>
      <c r="H9" s="2" t="inlineStr">
        <is>
          <t>Not started</t>
        </is>
      </c>
      <c r="I9" s="2" t="inlineStr">
        <is>
          <t>Attend mock I</t>
        </is>
      </c>
      <c r="J9" s="2" t="inlineStr">
        <is>
          <t>Not requested</t>
        </is>
      </c>
      <c r="K9" s="2" t="inlineStr">
        <is>
          <t>No</t>
        </is>
      </c>
      <c r="L9" s="2" t="inlineStr">
        <is>
          <t>Not started</t>
        </is>
      </c>
      <c r="M9" s="2" t="inlineStr"/>
      <c r="N9" s="2" t="inlineStr"/>
      <c r="O9" s="2" t="inlineStr"/>
      <c r="P9" s="2" t="inlineStr"/>
    </row>
    <row r="10">
      <c r="A10" s="2" t="inlineStr"/>
      <c r="B10" s="2" t="n">
        <v>9</v>
      </c>
      <c r="C10" s="2" t="inlineStr">
        <is>
          <t>Leadership + prioritization</t>
        </is>
      </c>
      <c r="D10" s="2" t="inlineStr">
        <is>
          <t>W09</t>
        </is>
      </c>
      <c r="E10" s="2" t="inlineStr">
        <is>
          <t>Assignment C: range</t>
        </is>
      </c>
      <c r="F10" s="2" t="inlineStr"/>
      <c r="G10" s="2" t="inlineStr"/>
      <c r="H10" s="2" t="inlineStr">
        <is>
          <t>Not started</t>
        </is>
      </c>
      <c r="I10" s="2" t="inlineStr">
        <is>
          <t>Review support needs</t>
        </is>
      </c>
      <c r="J10" s="2" t="inlineStr">
        <is>
          <t>Not requested</t>
        </is>
      </c>
      <c r="K10" s="2" t="inlineStr">
        <is>
          <t>No</t>
        </is>
      </c>
      <c r="L10" s="2" t="inlineStr">
        <is>
          <t>Not started</t>
        </is>
      </c>
      <c r="M10" s="2" t="inlineStr"/>
      <c r="N10" s="2" t="inlineStr"/>
      <c r="O10" s="2" t="inlineStr"/>
      <c r="P10" s="2" t="inlineStr"/>
    </row>
    <row r="11">
      <c r="A11" s="2" t="inlineStr"/>
      <c r="B11" s="2" t="n">
        <v>10</v>
      </c>
      <c r="C11" s="2" t="inlineStr">
        <is>
          <t>Employer research</t>
        </is>
      </c>
      <c r="D11" s="2" t="inlineStr">
        <is>
          <t>W10</t>
        </is>
      </c>
      <c r="E11" s="2" t="inlineStr">
        <is>
          <t>Employer/common question lessons</t>
        </is>
      </c>
      <c r="F11" s="2" t="inlineStr"/>
      <c r="G11" s="2" t="inlineStr"/>
      <c r="H11" s="2" t="inlineStr">
        <is>
          <t>Not started</t>
        </is>
      </c>
      <c r="I11" s="2" t="inlineStr">
        <is>
          <t>Request mock II</t>
        </is>
      </c>
      <c r="J11" s="2" t="inlineStr">
        <is>
          <t>Not requested</t>
        </is>
      </c>
      <c r="K11" s="2" t="inlineStr">
        <is>
          <t>No</t>
        </is>
      </c>
      <c r="L11" s="2" t="inlineStr">
        <is>
          <t>Not started</t>
        </is>
      </c>
      <c r="M11" s="2" t="inlineStr"/>
      <c r="N11" s="2" t="inlineStr"/>
      <c r="O11" s="2" t="inlineStr"/>
      <c r="P11" s="2" t="inlineStr"/>
    </row>
    <row r="12">
      <c r="A12" s="2" t="inlineStr"/>
      <c r="B12" s="2" t="n">
        <v>11</v>
      </c>
      <c r="C12" s="2" t="inlineStr">
        <is>
          <t>CS role-specific practice</t>
        </is>
      </c>
      <c r="D12" s="2" t="inlineStr">
        <is>
          <t>W11</t>
        </is>
      </c>
      <c r="E12" s="2" t="inlineStr">
        <is>
          <t>Relevant CS playbook</t>
        </is>
      </c>
      <c r="F12" s="2" t="inlineStr"/>
      <c r="G12" s="2" t="inlineStr"/>
      <c r="H12" s="2" t="inlineStr">
        <is>
          <t>Not started</t>
        </is>
      </c>
      <c r="I12" s="2" t="inlineStr">
        <is>
          <t>Prepare specialist questions</t>
        </is>
      </c>
      <c r="J12" s="2" t="inlineStr">
        <is>
          <t>Not requested</t>
        </is>
      </c>
      <c r="K12" s="2" t="inlineStr">
        <is>
          <t>No</t>
        </is>
      </c>
      <c r="L12" s="2" t="inlineStr">
        <is>
          <t>Not started</t>
        </is>
      </c>
      <c r="M12" s="2" t="inlineStr"/>
      <c r="N12" s="2" t="inlineStr"/>
      <c r="O12" s="2" t="inlineStr"/>
      <c r="P12" s="2" t="inlineStr"/>
    </row>
    <row r="13">
      <c r="A13" s="2" t="inlineStr"/>
      <c r="B13" s="2" t="n">
        <v>12</v>
      </c>
      <c r="C13" s="2" t="inlineStr">
        <is>
          <t>Mixed mock II</t>
        </is>
      </c>
      <c r="D13" s="2" t="inlineStr">
        <is>
          <t>W12</t>
        </is>
      </c>
      <c r="E13" s="2" t="inlineStr">
        <is>
          <t>Assignment D: mixed</t>
        </is>
      </c>
      <c r="F13" s="2" t="inlineStr"/>
      <c r="G13" s="2" t="inlineStr"/>
      <c r="H13" s="2" t="inlineStr">
        <is>
          <t>Not started</t>
        </is>
      </c>
      <c r="I13" s="2" t="inlineStr">
        <is>
          <t>Attend mock II</t>
        </is>
      </c>
      <c r="J13" s="2" t="inlineStr">
        <is>
          <t>Not requested</t>
        </is>
      </c>
      <c r="K13" s="2" t="inlineStr">
        <is>
          <t>No</t>
        </is>
      </c>
      <c r="L13" s="2" t="inlineStr">
        <is>
          <t>Not started</t>
        </is>
      </c>
      <c r="M13" s="2" t="inlineStr"/>
      <c r="N13" s="2" t="inlineStr"/>
      <c r="O13" s="2" t="inlineStr"/>
      <c r="P13" s="2" t="inlineStr"/>
    </row>
    <row r="14">
      <c r="A14" s="2" t="inlineStr"/>
      <c r="B14" s="2" t="n">
        <v>13</v>
      </c>
      <c r="C14" s="2" t="inlineStr">
        <is>
          <t>Full simulation</t>
        </is>
      </c>
      <c r="D14" s="2" t="inlineStr">
        <is>
          <t>W13</t>
        </is>
      </c>
      <c r="E14" s="2" t="inlineStr">
        <is>
          <t>Assignment E: simulation</t>
        </is>
      </c>
      <c r="F14" s="2" t="inlineStr"/>
      <c r="G14" s="2" t="inlineStr"/>
      <c r="H14" s="2" t="inlineStr">
        <is>
          <t>Not started</t>
        </is>
      </c>
      <c r="I14" s="2" t="inlineStr">
        <is>
          <t>Request mock III</t>
        </is>
      </c>
      <c r="J14" s="2" t="inlineStr">
        <is>
          <t>Not requested</t>
        </is>
      </c>
      <c r="K14" s="2" t="inlineStr">
        <is>
          <t>No</t>
        </is>
      </c>
      <c r="L14" s="2" t="inlineStr">
        <is>
          <t>Not started</t>
        </is>
      </c>
      <c r="M14" s="2" t="inlineStr"/>
      <c r="N14" s="2" t="inlineStr"/>
      <c r="O14" s="2" t="inlineStr"/>
      <c r="P14" s="2" t="inlineStr"/>
    </row>
    <row r="15">
      <c r="A15" s="2" t="inlineStr"/>
      <c r="B15" s="2" t="n">
        <v>14</v>
      </c>
      <c r="C15" s="2" t="inlineStr">
        <is>
          <t>Formats + logistics</t>
        </is>
      </c>
      <c r="D15" s="2" t="inlineStr">
        <is>
          <t>W14</t>
        </is>
      </c>
      <c r="E15" s="2" t="inlineStr">
        <is>
          <t>Format lessons</t>
        </is>
      </c>
      <c r="F15" s="2" t="inlineStr"/>
      <c r="G15" s="2" t="inlineStr"/>
      <c r="H15" s="2" t="inlineStr">
        <is>
          <t>Not started</t>
        </is>
      </c>
      <c r="I15" s="2" t="inlineStr">
        <is>
          <t>Confirm appointment</t>
        </is>
      </c>
      <c r="J15" s="2" t="inlineStr">
        <is>
          <t>Not requested</t>
        </is>
      </c>
      <c r="K15" s="2" t="inlineStr">
        <is>
          <t>No</t>
        </is>
      </c>
      <c r="L15" s="2" t="inlineStr">
        <is>
          <t>Not started</t>
        </is>
      </c>
      <c r="M15" s="2" t="inlineStr"/>
      <c r="N15" s="2" t="inlineStr"/>
      <c r="O15" s="2" t="inlineStr"/>
      <c r="P15" s="2" t="inlineStr"/>
    </row>
    <row r="16">
      <c r="A16" s="2" t="inlineStr"/>
      <c r="B16" s="2" t="n">
        <v>15</v>
      </c>
      <c r="C16" s="2" t="inlineStr">
        <is>
          <t>Human mock III</t>
        </is>
      </c>
      <c r="D16" s="2" t="inlineStr">
        <is>
          <t>W15</t>
        </is>
      </c>
      <c r="E16" s="2" t="inlineStr">
        <is>
          <t>Weak-area practice</t>
        </is>
      </c>
      <c r="F16" s="2" t="inlineStr"/>
      <c r="G16" s="2" t="inlineStr"/>
      <c r="H16" s="2" t="inlineStr">
        <is>
          <t>Not started</t>
        </is>
      </c>
      <c r="I16" s="2" t="inlineStr">
        <is>
          <t>Attend mock III</t>
        </is>
      </c>
      <c r="J16" s="2" t="inlineStr">
        <is>
          <t>Not requested</t>
        </is>
      </c>
      <c r="K16" s="2" t="inlineStr">
        <is>
          <t>No</t>
        </is>
      </c>
      <c r="L16" s="2" t="inlineStr">
        <is>
          <t>Not started</t>
        </is>
      </c>
      <c r="M16" s="2" t="inlineStr"/>
      <c r="N16" s="2" t="inlineStr"/>
      <c r="O16" s="2" t="inlineStr"/>
      <c r="P16" s="2" t="inlineStr"/>
    </row>
    <row r="17">
      <c r="A17" s="2" t="inlineStr"/>
      <c r="B17" s="2" t="n">
        <v>16</v>
      </c>
      <c r="C17" s="2" t="inlineStr">
        <is>
          <t>Capstone + next plan</t>
        </is>
      </c>
      <c r="D17" s="2" t="inlineStr">
        <is>
          <t>W16</t>
        </is>
      </c>
      <c r="E17" s="2" t="inlineStr">
        <is>
          <t>Review and reflection</t>
        </is>
      </c>
      <c r="F17" s="2" t="inlineStr"/>
      <c r="G17" s="2" t="inlineStr"/>
      <c r="H17" s="2" t="inlineStr">
        <is>
          <t>Not started</t>
        </is>
      </c>
      <c r="I17" s="2" t="inlineStr">
        <is>
          <t>Optional follow-up</t>
        </is>
      </c>
      <c r="J17" s="2" t="inlineStr">
        <is>
          <t>Not requested</t>
        </is>
      </c>
      <c r="K17" s="2" t="inlineStr">
        <is>
          <t>No</t>
        </is>
      </c>
      <c r="L17" s="2" t="inlineStr">
        <is>
          <t>Not started</t>
        </is>
      </c>
      <c r="M17" s="2" t="inlineStr"/>
      <c r="N17" s="2" t="inlineStr"/>
      <c r="O17" s="2" t="inlineStr"/>
      <c r="P17" s="2" t="inlineStr"/>
    </row>
  </sheetData>
  <autoFilter ref="A1:P17"/>
  <dataValidations count="4">
    <dataValidation sqref="H2:H17" showDropDown="0" showInputMessage="0" showErrorMessage="0" allowBlank="0" type="list">
      <formula1>"Not started,In progress,Submitted,Returned,Accepted,Alternative arranged"</formula1>
    </dataValidation>
    <dataValidation sqref="J2:J17" showDropDown="0" showInputMessage="0" showErrorMessage="0" allowBlank="0" type="list">
      <formula1>"Not requested,Requested,Approved,Declined,Completed,No show,Alternative arranged"</formula1>
    </dataValidation>
    <dataValidation sqref="K2:K17" showDropDown="0" showInputMessage="0" showErrorMessage="0" allowBlank="0" type="list">
      <formula1>"No,Yes,Unknown"</formula1>
    </dataValidation>
    <dataValidation sqref="L2:L17" showDropDown="0" showInputMessage="0" showErrorMessage="0" allowBlank="0" type="list">
      <formula1>"Not started,AI provisional,Human review,Final approved,Appealed"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Weeks in template</t>
        </is>
      </c>
      <c r="B2" s="2">
        <f>COUNTA('Weekly Tracker'!B2:B17)</f>
        <v/>
      </c>
    </row>
    <row r="3">
      <c r="A3" s="2" t="inlineStr">
        <is>
          <t>Submitted</t>
        </is>
      </c>
      <c r="B3" s="2">
        <f>COUNTIF('Weekly Tracker'!H2:H17,"Submitted")</f>
        <v/>
      </c>
    </row>
    <row r="4">
      <c r="A4" s="2" t="inlineStr">
        <is>
          <t>Accepted</t>
        </is>
      </c>
      <c r="B4" s="2">
        <f>COUNTIF('Weekly Tracker'!H2:H17,"Accepted")</f>
        <v/>
      </c>
    </row>
    <row r="5">
      <c r="A5" s="2" t="inlineStr">
        <is>
          <t>Appointments requested</t>
        </is>
      </c>
      <c r="B5" s="2">
        <f>COUNTIF('Weekly Tracker'!J2:J17,"Requested")</f>
        <v/>
      </c>
    </row>
    <row r="6">
      <c r="A6" s="2" t="inlineStr">
        <is>
          <t>Appointments approved</t>
        </is>
      </c>
      <c r="B6" s="2">
        <f>COUNTIF('Weekly Tracker'!J2:J17,"Approved")</f>
        <v/>
      </c>
    </row>
    <row r="7">
      <c r="A7" s="2" t="inlineStr">
        <is>
          <t>Source reports completed</t>
        </is>
      </c>
      <c r="B7" s="2">
        <f>COUNTIF('Weekly Tracker'!J2:J17,"Completed")</f>
        <v/>
      </c>
    </row>
    <row r="8">
      <c r="A8" s="2" t="inlineStr">
        <is>
          <t>Attendance verified</t>
        </is>
      </c>
      <c r="B8" s="2">
        <f>COUNTIF('Weekly Tracker'!K2:K17,"Yes")</f>
        <v/>
      </c>
    </row>
    <row r="9">
      <c r="A9" s="2" t="inlineStr">
        <is>
          <t>Final approved rubrics</t>
        </is>
      </c>
      <c r="B9" s="2">
        <f>COUNTIF('STAR Grades'!J2:J17,"Final approved")</f>
        <v/>
      </c>
    </row>
    <row r="10">
      <c r="A10" s="2" t="inlineStr">
        <is>
          <t>Mean final approved STAR score</t>
        </is>
      </c>
      <c r="B10" s="2">
        <f>IFERROR(AVERAGEIFS('STAR Grades'!H2:H17,'STAR Grades'!J2:J17,"Final approved",'STAR Grades'!H2:H17,"&gt;=0"),"")</f>
        <v/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</cols>
  <sheetData>
    <row r="1">
      <c r="A1" s="1" t="inlineStr">
        <is>
          <t>Purpose</t>
        </is>
      </c>
      <c r="B1" s="1" t="inlineStr">
        <is>
          <t>Source</t>
        </is>
      </c>
    </row>
    <row r="2">
      <c r="A2" s="2" t="inlineStr">
        <is>
          <t>Big Interview sharing</t>
        </is>
      </c>
      <c r="B2" s="2" t="inlineStr">
        <is>
          <t>https://support.biginterview.com/en/article/sharing-from-my-videos-zebi7a/</t>
        </is>
      </c>
    </row>
    <row r="3">
      <c r="A3" s="2" t="inlineStr">
        <is>
          <t>Big Interview FAQ</t>
        </is>
      </c>
      <c r="B3" s="2" t="inlineStr">
        <is>
          <t>https://support.biginterview.com/en/article/faq-1vi2kcl/</t>
        </is>
      </c>
    </row>
    <row r="4">
      <c r="A4" s="2" t="inlineStr">
        <is>
          <t>Handshake documents</t>
        </is>
      </c>
      <c r="B4" s="2" t="inlineStr">
        <is>
          <t>https://support.joinhandshake.com/hc/en-us/articles/218692648-How-to-Upload-a-New-Document</t>
        </is>
      </c>
    </row>
    <row r="5">
      <c r="A5" s="2" t="inlineStr">
        <is>
          <t>Handshake experience attachments</t>
        </is>
      </c>
      <c r="B5" s="2" t="inlineStr">
        <is>
          <t>https://support.joinhandshake.com/hc/en-us/articles/360006851874-Uploading-an-Attachment-to-an-Experience</t>
        </is>
      </c>
    </row>
    <row r="6">
      <c r="A6" s="2" t="inlineStr">
        <is>
          <t>AI education governance</t>
        </is>
      </c>
      <c r="B6" s="2" t="inlineStr">
        <is>
          <t>https://www.unesco.org/en/digital-education/artificial-intelligence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2026-10-07T18:37:11Z</dcterms:created>
  <dcterms:modified xmlns:dcterms="http://purl.org/dc/terms/" xmlns:xsi="http://www.w3.org/2001/XMLSchema-instance" xsi:type="dcterms:W3CDTF">2026-10-07T18:37:11Z</dcterms:modified>
</cp:coreProperties>
</file>