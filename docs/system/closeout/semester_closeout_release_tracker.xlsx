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Final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Test Gaps" sheetId="4" state="visible" r:id="rId4"/>
  </sheets>
  <definedNames>
    <definedName name="_xlnm._FilterDatabase" localSheetId="0" hidden="1">'Assignments'!$A$1:$J$31</definedName>
    <definedName name="_xlnm._FilterDatabase" localSheetId="1" hidden="1">'Finals'!$A$1:$I$11</definedName>
    <definedName name="_xlnm._FilterDatabase" localSheetId="2" hidden="1">'Milestones'!$A$1:$F$7</definedName>
    <definedName name="_xlnm._FilterDatabase" localSheetId="3" hidden="1">'Test Gaps'!$A$1:$D$12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Course</t>
        </is>
      </c>
      <c r="B1" s="1" t="inlineStr">
        <is>
          <t>Assignment</t>
        </is>
      </c>
      <c r="C1" s="1" t="inlineStr">
        <is>
          <t>Due date</t>
        </is>
      </c>
      <c r="D1" s="1" t="inlineStr">
        <is>
          <t>Effective course weight %</t>
        </is>
      </c>
      <c r="E1" s="1" t="inlineStr">
        <is>
          <t>Estimated total hours</t>
        </is>
      </c>
      <c r="F1" s="1" t="inlineStr">
        <is>
          <t>Hours spent</t>
        </is>
      </c>
      <c r="G1" s="1" t="inlineStr">
        <is>
          <t>Status</t>
        </is>
      </c>
      <c r="H1" s="1" t="inlineStr">
        <is>
          <t>Hours remaining</t>
        </is>
      </c>
      <c r="I1" s="1" t="inlineStr">
        <is>
          <t>Source</t>
        </is>
      </c>
      <c r="J1" s="1" t="inlineStr">
        <is>
          <t>Verified 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Not started</t>
        </is>
      </c>
      <c r="H2">
        <f>IF(OR(G2="Submitted",G2="Complete"),0,IF(E2="","",MAX(0,E2-F2)))</f>
        <v/>
      </c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Not started</t>
        </is>
      </c>
      <c r="H3">
        <f>IF(OR(G3="Submitted",G3="Complete"),0,IF(E3="","",MAX(0,E3-F3)))</f>
        <v/>
      </c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Not started</t>
        </is>
      </c>
      <c r="H4">
        <f>IF(OR(G4="Submitted",G4="Complete"),0,IF(E4="","",MAX(0,E4-F4)))</f>
        <v/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Not started</t>
        </is>
      </c>
      <c r="H5">
        <f>IF(OR(G5="Submitted",G5="Complete"),0,IF(E5="","",MAX(0,E5-F5)))</f>
        <v/>
      </c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Not started</t>
        </is>
      </c>
      <c r="H6">
        <f>IF(OR(G6="Submitted",G6="Complete"),0,IF(E6="","",MAX(0,E6-F6)))</f>
        <v/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Not started</t>
        </is>
      </c>
      <c r="H7">
        <f>IF(OR(G7="Submitted",G7="Complete"),0,IF(E7="","",MAX(0,E7-F7)))</f>
        <v/>
      </c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Not started</t>
        </is>
      </c>
      <c r="H8">
        <f>IF(OR(G8="Submitted",G8="Complete"),0,IF(E8="","",MAX(0,E8-F8)))</f>
        <v/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Not started</t>
        </is>
      </c>
      <c r="H9">
        <f>IF(OR(G9="Submitted",G9="Complete"),0,IF(E9="","",MAX(0,E9-F9)))</f>
        <v/>
      </c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Not started</t>
        </is>
      </c>
      <c r="H10">
        <f>IF(OR(G10="Submitted",G10="Complete"),0,IF(E10="","",MAX(0,E10-F10)))</f>
        <v/>
      </c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Not started</t>
        </is>
      </c>
      <c r="H11">
        <f>IF(OR(G11="Submitted",G11="Complete"),0,IF(E11="","",MAX(0,E11-F11)))</f>
        <v/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Not started</t>
        </is>
      </c>
      <c r="H12">
        <f>IF(OR(G12="Submitted",G12="Complete"),0,IF(E12="","",MAX(0,E12-F12)))</f>
        <v/>
      </c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Not started</t>
        </is>
      </c>
      <c r="H13">
        <f>IF(OR(G13="Submitted",G13="Complete"),0,IF(E13="","",MAX(0,E13-F13)))</f>
        <v/>
      </c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Not started</t>
        </is>
      </c>
      <c r="H14">
        <f>IF(OR(G14="Submitted",G14="Complete"),0,IF(E14="","",MAX(0,E14-F14)))</f>
        <v/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Not started</t>
        </is>
      </c>
      <c r="H15">
        <f>IF(OR(G15="Submitted",G15="Complete"),0,IF(E15="","",MAX(0,E15-F15)))</f>
        <v/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Not started</t>
        </is>
      </c>
      <c r="H16">
        <f>IF(OR(G16="Submitted",G16="Complete"),0,IF(E16="","",MAX(0,E16-F16)))</f>
        <v/>
      </c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Not started</t>
        </is>
      </c>
      <c r="H17">
        <f>IF(OR(G17="Submitted",G17="Complete"),0,IF(E17="","",MAX(0,E17-F17)))</f>
        <v/>
      </c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Not started</t>
        </is>
      </c>
      <c r="H18">
        <f>IF(OR(G18="Submitted",G18="Complete"),0,IF(E18="","",MAX(0,E18-F18)))</f>
        <v/>
      </c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Not started</t>
        </is>
      </c>
      <c r="H19">
        <f>IF(OR(G19="Submitted",G19="Complete"),0,IF(E19="","",MAX(0,E19-F19)))</f>
        <v/>
      </c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Not started</t>
        </is>
      </c>
      <c r="H20">
        <f>IF(OR(G20="Submitted",G20="Complete"),0,IF(E20="","",MAX(0,E20-F20)))</f>
        <v/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Not started</t>
        </is>
      </c>
      <c r="H21">
        <f>IF(OR(G21="Submitted",G21="Complete"),0,IF(E21="","",MAX(0,E21-F21)))</f>
        <v/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Not started</t>
        </is>
      </c>
      <c r="H22">
        <f>IF(OR(G22="Submitted",G22="Complete"),0,IF(E22="","",MAX(0,E22-F22)))</f>
        <v/>
      </c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Not started</t>
        </is>
      </c>
      <c r="H23">
        <f>IF(OR(G23="Submitted",G23="Complete"),0,IF(E23="","",MAX(0,E23-F23)))</f>
        <v/>
      </c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Not started</t>
        </is>
      </c>
      <c r="H24">
        <f>IF(OR(G24="Submitted",G24="Complete"),0,IF(E24="","",MAX(0,E24-F24)))</f>
        <v/>
      </c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Not started</t>
        </is>
      </c>
      <c r="H25">
        <f>IF(OR(G25="Submitted",G25="Complete"),0,IF(E25="","",MAX(0,E25-F25)))</f>
        <v/>
      </c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Not started</t>
        </is>
      </c>
      <c r="H26">
        <f>IF(OR(G26="Submitted",G26="Complete"),0,IF(E26="","",MAX(0,E26-F26)))</f>
        <v/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Not started</t>
        </is>
      </c>
      <c r="H27">
        <f>IF(OR(G27="Submitted",G27="Complete"),0,IF(E27="","",MAX(0,E27-F27)))</f>
        <v/>
      </c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Not started</t>
        </is>
      </c>
      <c r="H28">
        <f>IF(OR(G28="Submitted",G28="Complete"),0,IF(E28="","",MAX(0,E28-F28)))</f>
        <v/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Not started</t>
        </is>
      </c>
      <c r="H29">
        <f>IF(OR(G29="Submitted",G29="Complete"),0,IF(E29="","",MAX(0,E29-F29)))</f>
        <v/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Not started</t>
        </is>
      </c>
      <c r="H30">
        <f>IF(OR(G30="Submitted",G30="Complete"),0,IF(E30="","",MAX(0,E30-F30)))</f>
        <v/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Not started</t>
        </is>
      </c>
      <c r="H31">
        <f>IF(OR(G31="Submitted",G31="Complete"),0,IF(E31="","",MAX(0,E31-F31)))</f>
        <v/>
      </c>
      <c r="I31" t="inlineStr"/>
      <c r="J31" t="inlineStr"/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Course</t>
        </is>
      </c>
      <c r="B1" s="1" t="inlineStr">
        <is>
          <t>Exam date</t>
        </is>
      </c>
      <c r="C1" s="1" t="inlineStr">
        <is>
          <t>Topics</t>
        </is>
      </c>
      <c r="D1" s="1" t="inlineStr">
        <is>
          <t>Total prep hours</t>
        </is>
      </c>
      <c r="E1" s="1" t="inlineStr">
        <is>
          <t>Week 1 30%</t>
        </is>
      </c>
      <c r="F1" s="1" t="inlineStr">
        <is>
          <t>Week 2 30%</t>
        </is>
      </c>
      <c r="G1" s="1" t="inlineStr">
        <is>
          <t>Week 3 25%</t>
        </is>
      </c>
      <c r="H1" s="1" t="inlineStr">
        <is>
          <t>Week 4 15%</t>
        </is>
      </c>
      <c r="I1" s="1" t="inlineStr">
        <is>
          <t>Source</t>
        </is>
      </c>
    </row>
    <row r="2">
      <c r="A2" t="inlineStr"/>
      <c r="B2" t="inlineStr"/>
      <c r="C2" t="inlineStr"/>
      <c r="D2" t="inlineStr"/>
      <c r="E2">
        <f>IF(D2="","",D2*0.3)</f>
        <v/>
      </c>
      <c r="F2">
        <f>IF(D2="","",D2*0.3)</f>
        <v/>
      </c>
      <c r="G2">
        <f>IF(D2="","",D2*0.25)</f>
        <v/>
      </c>
      <c r="H2">
        <f>IF(D2="","",D2*0.15)</f>
        <v/>
      </c>
      <c r="I2" t="inlineStr"/>
    </row>
    <row r="3">
      <c r="A3" t="inlineStr"/>
      <c r="B3" t="inlineStr"/>
      <c r="C3" t="inlineStr"/>
      <c r="D3" t="inlineStr"/>
      <c r="E3">
        <f>IF(D3="","",D3*0.3)</f>
        <v/>
      </c>
      <c r="F3">
        <f>IF(D3="","",D3*0.3)</f>
        <v/>
      </c>
      <c r="G3">
        <f>IF(D3="","",D3*0.25)</f>
        <v/>
      </c>
      <c r="H3">
        <f>IF(D3="","",D3*0.15)</f>
        <v/>
      </c>
      <c r="I3" t="inlineStr"/>
    </row>
    <row r="4">
      <c r="A4" t="inlineStr"/>
      <c r="B4" t="inlineStr"/>
      <c r="C4" t="inlineStr"/>
      <c r="D4" t="inlineStr"/>
      <c r="E4">
        <f>IF(D4="","",D4*0.3)</f>
        <v/>
      </c>
      <c r="F4">
        <f>IF(D4="","",D4*0.3)</f>
        <v/>
      </c>
      <c r="G4">
        <f>IF(D4="","",D4*0.25)</f>
        <v/>
      </c>
      <c r="H4">
        <f>IF(D4="","",D4*0.15)</f>
        <v/>
      </c>
      <c r="I4" t="inlineStr"/>
    </row>
    <row r="5">
      <c r="A5" t="inlineStr"/>
      <c r="B5" t="inlineStr"/>
      <c r="C5" t="inlineStr"/>
      <c r="D5" t="inlineStr"/>
      <c r="E5">
        <f>IF(D5="","",D5*0.3)</f>
        <v/>
      </c>
      <c r="F5">
        <f>IF(D5="","",D5*0.3)</f>
        <v/>
      </c>
      <c r="G5">
        <f>IF(D5="","",D5*0.25)</f>
        <v/>
      </c>
      <c r="H5">
        <f>IF(D5="","",D5*0.15)</f>
        <v/>
      </c>
      <c r="I5" t="inlineStr"/>
    </row>
    <row r="6">
      <c r="A6" t="inlineStr"/>
      <c r="B6" t="inlineStr"/>
      <c r="C6" t="inlineStr"/>
      <c r="D6" t="inlineStr"/>
      <c r="E6">
        <f>IF(D6="","",D6*0.3)</f>
        <v/>
      </c>
      <c r="F6">
        <f>IF(D6="","",D6*0.3)</f>
        <v/>
      </c>
      <c r="G6">
        <f>IF(D6="","",D6*0.25)</f>
        <v/>
      </c>
      <c r="H6">
        <f>IF(D6="","",D6*0.15)</f>
        <v/>
      </c>
      <c r="I6" t="inlineStr"/>
    </row>
    <row r="7">
      <c r="A7" t="inlineStr"/>
      <c r="B7" t="inlineStr"/>
      <c r="C7" t="inlineStr"/>
      <c r="D7" t="inlineStr"/>
      <c r="E7">
        <f>IF(D7="","",D7*0.3)</f>
        <v/>
      </c>
      <c r="F7">
        <f>IF(D7="","",D7*0.3)</f>
        <v/>
      </c>
      <c r="G7">
        <f>IF(D7="","",D7*0.25)</f>
        <v/>
      </c>
      <c r="H7">
        <f>IF(D7="","",D7*0.15)</f>
        <v/>
      </c>
      <c r="I7" t="inlineStr"/>
    </row>
    <row r="8">
      <c r="A8" t="inlineStr"/>
      <c r="B8" t="inlineStr"/>
      <c r="C8" t="inlineStr"/>
      <c r="D8" t="inlineStr"/>
      <c r="E8">
        <f>IF(D8="","",D8*0.3)</f>
        <v/>
      </c>
      <c r="F8">
        <f>IF(D8="","",D8*0.3)</f>
        <v/>
      </c>
      <c r="G8">
        <f>IF(D8="","",D8*0.25)</f>
        <v/>
      </c>
      <c r="H8">
        <f>IF(D8="","",D8*0.15)</f>
        <v/>
      </c>
      <c r="I8" t="inlineStr"/>
    </row>
    <row r="9">
      <c r="A9" t="inlineStr"/>
      <c r="B9" t="inlineStr"/>
      <c r="C9" t="inlineStr"/>
      <c r="D9" t="inlineStr"/>
      <c r="E9">
        <f>IF(D9="","",D9*0.3)</f>
        <v/>
      </c>
      <c r="F9">
        <f>IF(D9="","",D9*0.3)</f>
        <v/>
      </c>
      <c r="G9">
        <f>IF(D9="","",D9*0.25)</f>
        <v/>
      </c>
      <c r="H9">
        <f>IF(D9="","",D9*0.15)</f>
        <v/>
      </c>
      <c r="I9" t="inlineStr"/>
    </row>
    <row r="10">
      <c r="A10" t="inlineStr"/>
      <c r="B10" t="inlineStr"/>
      <c r="C10" t="inlineStr"/>
      <c r="D10" t="inlineStr"/>
      <c r="E10">
        <f>IF(D10="","",D10*0.3)</f>
        <v/>
      </c>
      <c r="F10">
        <f>IF(D10="","",D10*0.3)</f>
        <v/>
      </c>
      <c r="G10">
        <f>IF(D10="","",D10*0.25)</f>
        <v/>
      </c>
      <c r="H10">
        <f>IF(D10="","",D10*0.15)</f>
        <v/>
      </c>
      <c r="I10" t="inlineStr"/>
    </row>
    <row r="11">
      <c r="A11" t="inlineStr"/>
      <c r="B11" t="inlineStr"/>
      <c r="C11" t="inlineStr"/>
      <c r="D11" t="inlineStr"/>
      <c r="E11">
        <f>IF(D11="","",D11*0.3)</f>
        <v/>
      </c>
      <c r="F11">
        <f>IF(D11="","",D11*0.3)</f>
        <v/>
      </c>
      <c r="G11">
        <f>IF(D11="","",D11*0.25)</f>
        <v/>
      </c>
      <c r="H11">
        <f>IF(D11="","",D11*0.15)</f>
        <v/>
      </c>
      <c r="I11" t="inlineStr"/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Milestone</t>
        </is>
      </c>
      <c r="C1" s="1" t="inlineStr">
        <is>
          <t>Owner role</t>
        </is>
      </c>
      <c r="D1" s="1" t="inlineStr">
        <is>
          <t>Dependency</t>
        </is>
      </c>
      <c r="E1" s="1" t="inlineStr">
        <is>
          <t>Acceptance evidence</t>
        </is>
      </c>
      <c r="F1" s="1" t="inlineStr">
        <is>
          <t>Status</t>
        </is>
      </c>
    </row>
    <row r="2">
      <c r="A2" t="inlineStr">
        <is>
          <t>M1</t>
        </is>
      </c>
      <c r="B2" t="inlineStr">
        <is>
          <t>Inventory and policy verification</t>
        </is>
      </c>
      <c r="C2" t="inlineStr">
        <is>
          <t>Product/domain leads</t>
        </is>
      </c>
      <c r="D2" t="inlineStr">
        <is>
          <t>Source access</t>
        </is>
      </c>
      <c r="E2" t="inlineStr">
        <is>
          <t>Course weights, exam dates and release scope verified</t>
        </is>
      </c>
      <c r="F2" t="inlineStr">
        <is>
          <t>Unverified</t>
        </is>
      </c>
    </row>
    <row r="3">
      <c r="A3" t="inlineStr">
        <is>
          <t>M2</t>
        </is>
      </c>
      <c r="B3" t="inlineStr">
        <is>
          <t>Closeout tracker integration</t>
        </is>
      </c>
      <c r="C3" t="inlineStr">
        <is>
          <t>Student experience engineering</t>
        </is>
      </c>
      <c r="D3" t="inlineStr">
        <is>
          <t>Canonical assignment model</t>
        </is>
      </c>
      <c r="E3" t="inlineStr">
        <is>
          <t>Persistence, source merge, weight semantics, isolation tests</t>
        </is>
      </c>
      <c r="F3" t="inlineStr">
        <is>
          <t>Unverified</t>
        </is>
      </c>
    </row>
    <row r="4">
      <c r="A4" t="inlineStr">
        <is>
          <t>M3</t>
        </is>
      </c>
      <c r="B4" t="inlineStr">
        <is>
          <t>Finals planner integration</t>
        </is>
      </c>
      <c r="C4" t="inlineStr">
        <is>
          <t>Planning engineering</t>
        </is>
      </c>
      <c r="D4" t="inlineStr">
        <is>
          <t>Calendar and topic model</t>
        </is>
      </c>
      <c r="E4" t="inlineStr">
        <is>
          <t>Capacity conflicts, timezone and rescheduling tests</t>
        </is>
      </c>
      <c r="F4" t="inlineStr">
        <is>
          <t>Unverified</t>
        </is>
      </c>
    </row>
    <row r="5">
      <c r="A5" t="inlineStr">
        <is>
          <t>M4</t>
        </is>
      </c>
      <c r="B5" t="inlineStr">
        <is>
          <t>Permission and source hardening</t>
        </is>
      </c>
      <c r="C5" t="inlineStr">
        <is>
          <t>Security/platform</t>
        </is>
      </c>
      <c r="D5" t="inlineStr">
        <is>
          <t>M2 and M3</t>
        </is>
      </c>
      <c r="E5" t="inlineStr">
        <is>
          <t>Cross-tenant denial, stale source and export tests</t>
        </is>
      </c>
      <c r="F5" t="inlineStr">
        <is>
          <t>Unverified</t>
        </is>
      </c>
    </row>
    <row r="6">
      <c r="A6" t="inlineStr">
        <is>
          <t>M5</t>
        </is>
      </c>
      <c r="B6" t="inlineStr">
        <is>
          <t>Full workflow verification</t>
        </is>
      </c>
      <c r="C6" t="inlineStr">
        <is>
          <t>QA/accessibility</t>
        </is>
      </c>
      <c r="D6" t="inlineStr">
        <is>
          <t>M4</t>
        </is>
      </c>
      <c r="E6" t="inlineStr">
        <is>
          <t>End-to-end, keyboard, error/offline and recovery evidence</t>
        </is>
      </c>
      <c r="F6" t="inlineStr">
        <is>
          <t>Unverified</t>
        </is>
      </c>
    </row>
    <row r="7">
      <c r="A7" t="inlineStr">
        <is>
          <t>M6</t>
        </is>
      </c>
      <c r="B7" t="inlineStr">
        <is>
          <t>Release and rollback rehearsal</t>
        </is>
      </c>
      <c r="C7" t="inlineStr">
        <is>
          <t>Release operator/SRE</t>
        </is>
      </c>
      <c r="D7" t="inlineStr">
        <is>
          <t>M5</t>
        </is>
      </c>
      <c r="E7" t="inlineStr">
        <is>
          <t>Monitoring, rollback, restore, support and go/no-go approval</t>
        </is>
      </c>
      <c r="F7" t="inlineStr">
        <is>
          <t>Unverified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Area</t>
        </is>
      </c>
      <c r="B1" s="1" t="inlineStr">
        <is>
          <t>Integration test</t>
        </is>
      </c>
      <c r="C1" s="1" t="inlineStr">
        <is>
          <t>Priority</t>
        </is>
      </c>
      <c r="D1" s="1" t="inlineStr">
        <is>
          <t>Coverage status</t>
        </is>
      </c>
    </row>
    <row r="2">
      <c r="A2" t="inlineStr">
        <is>
          <t>Import</t>
        </is>
      </c>
      <c r="B2" t="inlineStr">
        <is>
          <t>Deadline update merges without duplicates</t>
        </is>
      </c>
      <c r="C2" t="inlineStr">
        <is>
          <t>P0</t>
        </is>
      </c>
      <c r="D2" t="inlineStr">
        <is>
          <t>Not verified; candidate gap</t>
        </is>
      </c>
    </row>
    <row r="3">
      <c r="A3" t="inlineStr">
        <is>
          <t>Grade weights</t>
        </is>
      </c>
      <c r="B3" t="inlineStr">
        <is>
          <t>Category-to-course conversion and unknown weights</t>
        </is>
      </c>
      <c r="C3" t="inlineStr">
        <is>
          <t>P0</t>
        </is>
      </c>
      <c r="D3" t="inlineStr">
        <is>
          <t>Not verified; candidate gap</t>
        </is>
      </c>
    </row>
    <row r="4">
      <c r="A4" t="inlineStr">
        <is>
          <t>Calendar</t>
        </is>
      </c>
      <c r="B4" t="inlineStr">
        <is>
          <t>Timezone and daylight-saving boundaries</t>
        </is>
      </c>
      <c r="C4" t="inlineStr">
        <is>
          <t>P0</t>
        </is>
      </c>
      <c r="D4" t="inlineStr">
        <is>
          <t>Not verified; candidate gap</t>
        </is>
      </c>
    </row>
    <row r="5">
      <c r="A5" t="inlineStr">
        <is>
          <t>Planner</t>
        </is>
      </c>
      <c r="B5" t="inlineStr">
        <is>
          <t>No available capacity produces explicit shortfall</t>
        </is>
      </c>
      <c r="C5" t="inlineStr">
        <is>
          <t>P0</t>
        </is>
      </c>
      <c r="D5" t="inlineStr">
        <is>
          <t>Not verified; candidate gap</t>
        </is>
      </c>
    </row>
    <row r="6">
      <c r="A6" t="inlineStr">
        <is>
          <t>Security</t>
        </is>
      </c>
      <c r="B6" t="inlineStr">
        <is>
          <t>Cross-tenant access denied at database and storage</t>
        </is>
      </c>
      <c r="C6" t="inlineStr">
        <is>
          <t>P0</t>
        </is>
      </c>
      <c r="D6" t="inlineStr">
        <is>
          <t>Not verified; candidate gap</t>
        </is>
      </c>
    </row>
    <row r="7">
      <c r="A7" t="inlineStr">
        <is>
          <t>Revocation</t>
        </is>
      </c>
      <c r="B7" t="inlineStr">
        <is>
          <t>Sharing revocation blocks search and exports</t>
        </is>
      </c>
      <c r="C7" t="inlineStr">
        <is>
          <t>P0</t>
        </is>
      </c>
      <c r="D7" t="inlineStr">
        <is>
          <t>Not verified; candidate gap</t>
        </is>
      </c>
    </row>
    <row r="8">
      <c r="A8" t="inlineStr">
        <is>
          <t>Offline</t>
        </is>
      </c>
      <c r="B8" t="inlineStr">
        <is>
          <t>Reconnect preserves edits without duplicate tasks</t>
        </is>
      </c>
      <c r="C8" t="inlineStr">
        <is>
          <t>P1</t>
        </is>
      </c>
      <c r="D8" t="inlineStr">
        <is>
          <t>Not verified; candidate gap</t>
        </is>
      </c>
    </row>
    <row r="9">
      <c r="A9" t="inlineStr">
        <is>
          <t>Export</t>
        </is>
      </c>
      <c r="B9" t="inlineStr">
        <is>
          <t>CSV formula injection neutralized</t>
        </is>
      </c>
      <c r="C9" t="inlineStr">
        <is>
          <t>P0</t>
        </is>
      </c>
      <c r="D9" t="inlineStr">
        <is>
          <t>Not verified; candidate gap</t>
        </is>
      </c>
    </row>
    <row r="10">
      <c r="A10" t="inlineStr">
        <is>
          <t>Release</t>
        </is>
      </c>
      <c r="B10" t="inlineStr">
        <is>
          <t>Backend kill switch blocks writes</t>
        </is>
      </c>
      <c r="C10" t="inlineStr">
        <is>
          <t>P0</t>
        </is>
      </c>
      <c r="D10" t="inlineStr">
        <is>
          <t>Not verified; candidate gap</t>
        </is>
      </c>
    </row>
    <row r="11">
      <c r="A11" t="inlineStr">
        <is>
          <t>Recovery</t>
        </is>
      </c>
      <c r="B11" t="inlineStr">
        <is>
          <t>Restore and migration rollback validated</t>
        </is>
      </c>
      <c r="C11" t="inlineStr">
        <is>
          <t>P0</t>
        </is>
      </c>
      <c r="D11" t="inlineStr">
        <is>
          <t>Not verified; candidate gap</t>
        </is>
      </c>
    </row>
    <row r="12">
      <c r="A12" t="inlineStr">
        <is>
          <t>AI</t>
        </is>
      </c>
      <c r="B12" t="inlineStr">
        <is>
          <t>Untrusted course text cannot change tool permissions</t>
        </is>
      </c>
      <c r="C12" t="inlineStr">
        <is>
          <t>P0</t>
        </is>
      </c>
      <c r="D12" t="inlineStr">
        <is>
          <t>Not verified; candidate gap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2026-10-07T18:52:08Z</dcterms:created>
  <dcterms:modified xmlns:dcterms="http://purl.org/dc/terms/" xmlns:xsi="http://www.w3.org/2001/XMLSchema-instance" xsi:type="dcterms:W3CDTF">2026-10-07T18:52:08Z</dcterms:modified>
</cp:coreProperties>
</file>