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Grade Scale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Daily Blocks" sheetId="6" state="visible" r:id="rId6"/>
    <sheet xmlns:r="http://schemas.openxmlformats.org/officeDocument/2006/relationships" name="Dashboar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</font>
  </fonts>
  <fills count="3">
    <fill>
      <patternFill/>
    </fill>
    <fill>
      <patternFill patternType="gray125"/>
    </fill>
    <fill>
      <patternFill patternType="solid">
        <fgColor rgb="0026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ourseSummary" displayName="CourseSummary" ref="A1:U5" headerRowCount="1">
  <autoFilter ref="A1:U5"/>
  <tableColumns count="21">
    <tableColumn id="1" name="Course ID"/>
    <tableColumn id="2" name="Course"/>
    <tableColumn id="3" name="Credits"/>
    <tableColumn id="4" name="Current completed-work score %"/>
    <tableColumn id="5" name="Completed course weight %"/>
    <tableColumn id="6" name="Target course %"/>
    <tableColumn id="7" name="Buffer pp"/>
    <tableColumn id="8" name="Exam date"/>
    <tableColumn id="9" name="Remaining weight %"/>
    <tableColumn id="10" name="Projected course %"/>
    <tableColumn id="11" name="Projected letter"/>
    <tableColumn id="12" name="Projected GPA points"/>
    <tableColumn id="13" name="Target GPA points"/>
    <tableColumn id="14" name="Required avg remaining %"/>
    <tableColumn id="15" name="Target+buffer avg remaining %"/>
    <tableColumn id="16" name="Projected buffer vs target pp"/>
    <tableColumn id="17" name="Study hours remaining"/>
    <tableColumn id="18" name="Scheduled hours"/>
    <tableColumn id="19" name="Hours gap"/>
    <tableColumn id="20" name="Weight check"/>
    <tableColumn id="21" name="Target feasibility"/>
  </tableColumns>
  <tableStyleInfo name="TableStyleMedium2" showRowStripes="1"/>
</table>
</file>

<file path=xl/tables/table2.xml><?xml version="1.0" encoding="utf-8"?>
<table xmlns="http://schemas.openxmlformats.org/spreadsheetml/2006/main" id="2" name="AssignmentTracker" displayName="AssignmentTracker" ref="A1:N9" headerRowCount="1">
  <autoFilter ref="A1:N9"/>
  <tableColumns count="14">
    <tableColumn id="1" name="Course ID"/>
    <tableColumn id="2" name="Item"/>
    <tableColumn id="3" name="Type"/>
    <tableColumn id="4" name="Due date"/>
    <tableColumn id="5" name="Effective course weight %"/>
    <tableColumn id="6" name="Projected score %"/>
    <tableColumn id="7" name="Actual score % optional"/>
    <tableColumn id="8" name="Score used %"/>
    <tableColumn id="9" name="Course contribution pp"/>
    <tableColumn id="10" name="Estimated total hours"/>
    <tableColumn id="11" name="Hours spent"/>
    <tableColumn id="12" name="Status"/>
    <tableColumn id="13" name="Remaining hours"/>
    <tableColumn id="14" name="Source"/>
  </tableColumns>
  <tableStyleInfo name="TableStyleMedium2" showRowStripes="1"/>
</table>
</file>

<file path=xl/tables/table3.xml><?xml version="1.0" encoding="utf-8"?>
<table xmlns="http://schemas.openxmlformats.org/spreadsheetml/2006/main" id="3" name="StudyBlocks" displayName="StudyBlocks" ref="A1:J57" headerRowCount="1">
  <autoFilter ref="A1:J57"/>
  <tableColumns count="10">
    <tableColumn id="1" name="Date"/>
    <tableColumn id="2" name="Start"/>
    <tableColumn id="3" name="End"/>
    <tableColumn id="4" name="Hours"/>
    <tableColumn id="5" name="Course ID"/>
    <tableColumn id="6" name="Subject priority"/>
    <tableColumn id="7" name="Focus"/>
    <tableColumn id="8" name="Topic / item"/>
    <tableColumn id="9" name="Status"/>
    <tableColumn id="10" name="Daily capacity che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Semester Finals and GPA Planner — Fictional Sample</t>
        </is>
      </c>
    </row>
    <row r="2">
      <c r="A2" s="2" t="inlineStr">
        <is>
          <t>All courses, assignments, scores, dates and hours are illustrative, not your records.</t>
        </is>
      </c>
    </row>
    <row r="3">
      <c r="A3" s="2" t="inlineStr">
        <is>
          <t>Blue cells are editable inputs; dark headers identify tables; formulas recalculate on opening.</t>
        </is>
      </c>
    </row>
    <row r="4">
      <c r="A4" s="2" t="inlineStr">
        <is>
          <t>Current score means average on completed work ONLY; completed weight is its share of entire course.</t>
        </is>
      </c>
    </row>
    <row r="5">
      <c r="A5" s="2" t="inlineStr">
        <is>
          <t>Remaining assignment weights are effective course weights, not category weights.</t>
        </is>
      </c>
    </row>
    <row r="6">
      <c r="A6" s="2" t="inlineStr">
        <is>
          <t>Projected scores are assumptions, not predictions. Study hours do not guarantee any score.</t>
        </is>
      </c>
    </row>
    <row r="7">
      <c r="A7" s="2" t="inlineStr">
        <is>
          <t>Illustrative grade scale; replace with verified course cutoffs and institutional GPA points.</t>
        </is>
      </c>
    </row>
    <row r="8">
      <c r="A8" s="2" t="inlineStr">
        <is>
          <t>No curves, dropped scores, extra credit, pass/fail, repeats or rounding policies are modeled.</t>
        </is>
      </c>
    </row>
    <row r="9">
      <c r="A9" s="2" t="inlineStr">
        <is>
          <t>Semester GPA is credit weighted. Cumulative GPA requires prior credits and prior GPA, not supplied here.</t>
        </is>
      </c>
    </row>
    <row r="10">
      <c r="A10" s="2" t="inlineStr">
        <is>
          <t>Daily blocks are sample allocations. Editing estimates does not automatically reschedule them.</t>
        </is>
      </c>
    </row>
    <row r="11">
      <c r="A11" s="2" t="inlineStr">
        <is>
          <t>Schedule: Nov 9–Dec 6, 2026; exams Dec 7–10. Verify actual dates before use.</t>
        </is>
      </c>
    </row>
    <row r="12">
      <c r="A12" s="2" t="inlineStr">
        <is>
          <t>Sort/filter using the header dropdowns in Assignments, Courses and Daily Blocks.</t>
        </is>
      </c>
    </row>
    <row r="13">
      <c r="A13" s="2" t="inlineStr">
        <is>
          <t>Workbook formulas were generated; Excel recalculation and GUI behavior not tested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1" t="inlineStr">
        <is>
          <t>Minimum percent</t>
        </is>
      </c>
      <c r="B1" s="1" t="inlineStr">
        <is>
          <t>Letter</t>
        </is>
      </c>
      <c r="C1" s="1" t="inlineStr">
        <is>
          <t>GPA points</t>
        </is>
      </c>
    </row>
    <row r="2">
      <c r="A2" s="2" t="n">
        <v>0</v>
      </c>
      <c r="B2" s="2" t="inlineStr">
        <is>
          <t>F</t>
        </is>
      </c>
      <c r="C2" s="2" t="n">
        <v>0</v>
      </c>
    </row>
    <row r="3">
      <c r="A3" s="2" t="n">
        <v>60</v>
      </c>
      <c r="B3" s="2" t="inlineStr">
        <is>
          <t>D-</t>
        </is>
      </c>
      <c r="C3" s="2" t="n">
        <v>0.7</v>
      </c>
    </row>
    <row r="4">
      <c r="A4" s="2" t="n">
        <v>63</v>
      </c>
      <c r="B4" s="2" t="inlineStr">
        <is>
          <t>D</t>
        </is>
      </c>
      <c r="C4" s="2" t="n">
        <v>1</v>
      </c>
    </row>
    <row r="5">
      <c r="A5" s="2" t="n">
        <v>67</v>
      </c>
      <c r="B5" s="2" t="inlineStr">
        <is>
          <t>D+</t>
        </is>
      </c>
      <c r="C5" s="2" t="n">
        <v>1.3</v>
      </c>
    </row>
    <row r="6">
      <c r="A6" s="2" t="n">
        <v>70</v>
      </c>
      <c r="B6" s="2" t="inlineStr">
        <is>
          <t>C-</t>
        </is>
      </c>
      <c r="C6" s="2" t="n">
        <v>1.7</v>
      </c>
    </row>
    <row r="7">
      <c r="A7" s="2" t="n">
        <v>73</v>
      </c>
      <c r="B7" s="2" t="inlineStr">
        <is>
          <t>C</t>
        </is>
      </c>
      <c r="C7" s="2" t="n">
        <v>2</v>
      </c>
    </row>
    <row r="8">
      <c r="A8" s="2" t="n">
        <v>77</v>
      </c>
      <c r="B8" s="2" t="inlineStr">
        <is>
          <t>C+</t>
        </is>
      </c>
      <c r="C8" s="2" t="n">
        <v>2.3</v>
      </c>
    </row>
    <row r="9">
      <c r="A9" s="2" t="n">
        <v>80</v>
      </c>
      <c r="B9" s="2" t="inlineStr">
        <is>
          <t>B-</t>
        </is>
      </c>
      <c r="C9" s="2" t="n">
        <v>2.7</v>
      </c>
    </row>
    <row r="10">
      <c r="A10" s="2" t="n">
        <v>83</v>
      </c>
      <c r="B10" s="2" t="inlineStr">
        <is>
          <t>B</t>
        </is>
      </c>
      <c r="C10" s="2" t="n">
        <v>3</v>
      </c>
    </row>
    <row r="11">
      <c r="A11" s="2" t="n">
        <v>87</v>
      </c>
      <c r="B11" s="2" t="inlineStr">
        <is>
          <t>B+</t>
        </is>
      </c>
      <c r="C11" s="2" t="n">
        <v>3.3</v>
      </c>
    </row>
    <row r="12">
      <c r="A12" s="2" t="n">
        <v>90</v>
      </c>
      <c r="B12" s="2" t="inlineStr">
        <is>
          <t>A-</t>
        </is>
      </c>
      <c r="C12" s="2" t="n">
        <v>3.7</v>
      </c>
    </row>
    <row r="13">
      <c r="A13" s="2" t="n">
        <v>93</v>
      </c>
      <c r="B13" s="2" t="inlineStr">
        <is>
          <t>A</t>
        </is>
      </c>
      <c r="C13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Target semester GPA</t>
        </is>
      </c>
      <c r="B2" s="2" t="n">
        <v>3.5</v>
      </c>
    </row>
    <row r="3">
      <c r="A3" s="2" t="inlineStr">
        <is>
          <t>Default course buffer, percentage points</t>
        </is>
      </c>
      <c r="B3" s="2" t="n">
        <v>2</v>
      </c>
    </row>
    <row r="4">
      <c r="A4" s="2" t="inlineStr">
        <is>
          <t>Countdown start</t>
        </is>
      </c>
      <c r="B4" s="3" t="n">
        <v>46335</v>
      </c>
    </row>
    <row r="5">
      <c r="A5" s="2" t="inlineStr">
        <is>
          <t>Daily available study hours</t>
        </is>
      </c>
      <c r="B5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2" customWidth="1" min="4" max="4"/>
    <col width="27" customWidth="1" min="5" max="5"/>
    <col width="17" customWidth="1" min="6" max="6"/>
    <col width="16" customWidth="1" min="7" max="7"/>
    <col width="16" customWidth="1" min="8" max="8"/>
    <col width="20" customWidth="1" min="9" max="9"/>
    <col width="20" customWidth="1" min="10" max="10"/>
    <col width="18" customWidth="1" min="11" max="11"/>
    <col width="22" customWidth="1" min="12" max="12"/>
    <col width="19" customWidth="1" min="13" max="13"/>
    <col width="26" customWidth="1" min="14" max="14"/>
    <col width="31" customWidth="1" min="15" max="15"/>
    <col width="31" customWidth="1" min="16" max="16"/>
    <col width="23" customWidth="1" min="17" max="17"/>
    <col width="17" customWidth="1" min="18" max="18"/>
    <col width="16" customWidth="1" min="19" max="19"/>
    <col width="16" customWidth="1" min="20" max="20"/>
    <col width="20" customWidth="1" min="21" max="21"/>
  </cols>
  <sheetData>
    <row r="1">
      <c r="A1" s="1" t="inlineStr">
        <is>
          <t>Course ID</t>
        </is>
      </c>
      <c r="B1" s="1" t="inlineStr">
        <is>
          <t>Course</t>
        </is>
      </c>
      <c r="C1" s="1" t="inlineStr">
        <is>
          <t>Credits</t>
        </is>
      </c>
      <c r="D1" s="1" t="inlineStr">
        <is>
          <t>Current completed-work score %</t>
        </is>
      </c>
      <c r="E1" s="1" t="inlineStr">
        <is>
          <t>Completed course weight %</t>
        </is>
      </c>
      <c r="F1" s="1" t="inlineStr">
        <is>
          <t>Target course %</t>
        </is>
      </c>
      <c r="G1" s="1" t="inlineStr">
        <is>
          <t>Buffer pp</t>
        </is>
      </c>
      <c r="H1" s="1" t="inlineStr">
        <is>
          <t>Exam date</t>
        </is>
      </c>
      <c r="I1" s="1" t="inlineStr">
        <is>
          <t>Remaining weight %</t>
        </is>
      </c>
      <c r="J1" s="1" t="inlineStr">
        <is>
          <t>Projected course %</t>
        </is>
      </c>
      <c r="K1" s="1" t="inlineStr">
        <is>
          <t>Projected letter</t>
        </is>
      </c>
      <c r="L1" s="1" t="inlineStr">
        <is>
          <t>Projected GPA points</t>
        </is>
      </c>
      <c r="M1" s="1" t="inlineStr">
        <is>
          <t>Target GPA points</t>
        </is>
      </c>
      <c r="N1" s="1" t="inlineStr">
        <is>
          <t>Required avg remaining %</t>
        </is>
      </c>
      <c r="O1" s="1" t="inlineStr">
        <is>
          <t>Target+buffer avg remaining %</t>
        </is>
      </c>
      <c r="P1" s="1" t="inlineStr">
        <is>
          <t>Projected buffer vs target pp</t>
        </is>
      </c>
      <c r="Q1" s="1" t="inlineStr">
        <is>
          <t>Study hours remaining</t>
        </is>
      </c>
      <c r="R1" s="1" t="inlineStr">
        <is>
          <t>Scheduled hours</t>
        </is>
      </c>
      <c r="S1" s="1" t="inlineStr">
        <is>
          <t>Hours gap</t>
        </is>
      </c>
      <c r="T1" s="1" t="inlineStr">
        <is>
          <t>Weight check</t>
        </is>
      </c>
      <c r="U1" s="1" t="inlineStr">
        <is>
          <t>Target feasibility</t>
        </is>
      </c>
    </row>
    <row r="2">
      <c r="A2" s="2" t="inlineStr">
        <is>
          <t>CS 201</t>
        </is>
      </c>
      <c r="B2" s="2" t="inlineStr">
        <is>
          <t>Algorithms</t>
        </is>
      </c>
      <c r="C2" s="2" t="n">
        <v>4</v>
      </c>
      <c r="D2" s="2" t="n">
        <v>86</v>
      </c>
      <c r="E2" s="2" t="n">
        <v>65</v>
      </c>
      <c r="F2" s="2" t="n">
        <v>90</v>
      </c>
      <c r="G2" s="4">
        <f>Settings!$B$3</f>
        <v/>
      </c>
      <c r="H2" s="3" t="n">
        <v>46363</v>
      </c>
      <c r="I2" s="4">
        <f>SUMIF(Assignments!$A$2:$A$9,A2,Assignments!$E$2:$E$9)</f>
        <v/>
      </c>
      <c r="J2" s="4">
        <f>D2*E2/100+SUMIF(Assignments!$A$2:$A$9,A2,Assignments!$I$2:$I$9)</f>
        <v/>
      </c>
      <c r="K2" s="4">
        <f>LOOKUP(J2,'Grade Scale'!$A$2:$A$13,'Grade Scale'!$B$2:$B$13)</f>
        <v/>
      </c>
      <c r="L2" s="4">
        <f>LOOKUP(J2,'Grade Scale'!$A$2:$A$13,'Grade Scale'!$C$2:$C$13)</f>
        <v/>
      </c>
      <c r="M2" s="4">
        <f>LOOKUP(F2,'Grade Scale'!$A$2:$A$13,'Grade Scale'!$C$2:$C$13)</f>
        <v/>
      </c>
      <c r="N2" s="4">
        <f>IF(I2=0,"",(F2-D2*E2/100)*100/I2)</f>
        <v/>
      </c>
      <c r="O2" s="4">
        <f>IF(I2=0,"",(F2+G2-D2*E2/100)*100/I2)</f>
        <v/>
      </c>
      <c r="P2" s="4">
        <f>J2-F2</f>
        <v/>
      </c>
      <c r="Q2" s="4">
        <f>SUMIF(Assignments!$A$2:$A$9,A2,Assignments!$M$2:$M$9)</f>
        <v/>
      </c>
      <c r="R2" s="4">
        <f>SUMIF('Daily Blocks'!$E$2:$E$57,A2,'Daily Blocks'!$D$2:$D$57)</f>
        <v/>
      </c>
      <c r="S2" s="4">
        <f>MAX(0,Q2-R2)</f>
        <v/>
      </c>
      <c r="T2" s="4">
        <f>IF(ABS(E2+I2-100)&lt;0.001,"OK","FIX WEIGHTS")</f>
        <v/>
      </c>
      <c r="U2" s="4">
        <f>IF(I2=0,"No remaining work",IF(N2&gt;100,"Target impossible under assumptions",IF(O2&gt;100,"Target feasible; buffer impossible","Target and buffer feasible")))</f>
        <v/>
      </c>
    </row>
    <row r="3">
      <c r="A3" s="2" t="inlineStr">
        <is>
          <t>MATH 221</t>
        </is>
      </c>
      <c r="B3" s="2" t="inlineStr">
        <is>
          <t>Linear Algebra</t>
        </is>
      </c>
      <c r="C3" s="2" t="n">
        <v>3</v>
      </c>
      <c r="D3" s="2" t="n">
        <v>89</v>
      </c>
      <c r="E3" s="2" t="n">
        <v>70</v>
      </c>
      <c r="F3" s="2" t="n">
        <v>90</v>
      </c>
      <c r="G3" s="4">
        <f>Settings!$B$3</f>
        <v/>
      </c>
      <c r="H3" s="3" t="n">
        <v>46364</v>
      </c>
      <c r="I3" s="4">
        <f>SUMIF(Assignments!$A$2:$A$9,A3,Assignments!$E$2:$E$9)</f>
        <v/>
      </c>
      <c r="J3" s="4">
        <f>D3*E3/100+SUMIF(Assignments!$A$2:$A$9,A3,Assignments!$I$2:$I$9)</f>
        <v/>
      </c>
      <c r="K3" s="4">
        <f>LOOKUP(J3,'Grade Scale'!$A$2:$A$13,'Grade Scale'!$B$2:$B$13)</f>
        <v/>
      </c>
      <c r="L3" s="4">
        <f>LOOKUP(J3,'Grade Scale'!$A$2:$A$13,'Grade Scale'!$C$2:$C$13)</f>
        <v/>
      </c>
      <c r="M3" s="4">
        <f>LOOKUP(F3,'Grade Scale'!$A$2:$A$13,'Grade Scale'!$C$2:$C$13)</f>
        <v/>
      </c>
      <c r="N3" s="4">
        <f>IF(I3=0,"",(F3-D3*E3/100)*100/I3)</f>
        <v/>
      </c>
      <c r="O3" s="4">
        <f>IF(I3=0,"",(F3+G3-D3*E3/100)*100/I3)</f>
        <v/>
      </c>
      <c r="P3" s="4">
        <f>J3-F3</f>
        <v/>
      </c>
      <c r="Q3" s="4">
        <f>SUMIF(Assignments!$A$2:$A$9,A3,Assignments!$M$2:$M$9)</f>
        <v/>
      </c>
      <c r="R3" s="4">
        <f>SUMIF('Daily Blocks'!$E$2:$E$57,A3,'Daily Blocks'!$D$2:$D$57)</f>
        <v/>
      </c>
      <c r="S3" s="4">
        <f>MAX(0,Q3-R3)</f>
        <v/>
      </c>
      <c r="T3" s="4">
        <f>IF(ABS(E3+I3-100)&lt;0.001,"OK","FIX WEIGHTS")</f>
        <v/>
      </c>
      <c r="U3" s="4">
        <f>IF(I3=0,"No remaining work",IF(N3&gt;100,"Target impossible under assumptions",IF(O3&gt;100,"Target feasible; buffer impossible","Target and buffer feasible")))</f>
        <v/>
      </c>
    </row>
    <row r="4">
      <c r="A4" s="2" t="inlineStr">
        <is>
          <t>CS 240</t>
        </is>
      </c>
      <c r="B4" s="2" t="inlineStr">
        <is>
          <t>Systems</t>
        </is>
      </c>
      <c r="C4" s="2" t="n">
        <v>4</v>
      </c>
      <c r="D4" s="2" t="n">
        <v>91</v>
      </c>
      <c r="E4" s="2" t="n">
        <v>65</v>
      </c>
      <c r="F4" s="2" t="n">
        <v>93</v>
      </c>
      <c r="G4" s="4">
        <f>Settings!$B$3</f>
        <v/>
      </c>
      <c r="H4" s="3" t="n">
        <v>46365</v>
      </c>
      <c r="I4" s="4">
        <f>SUMIF(Assignments!$A$2:$A$9,A4,Assignments!$E$2:$E$9)</f>
        <v/>
      </c>
      <c r="J4" s="4">
        <f>D4*E4/100+SUMIF(Assignments!$A$2:$A$9,A4,Assignments!$I$2:$I$9)</f>
        <v/>
      </c>
      <c r="K4" s="4">
        <f>LOOKUP(J4,'Grade Scale'!$A$2:$A$13,'Grade Scale'!$B$2:$B$13)</f>
        <v/>
      </c>
      <c r="L4" s="4">
        <f>LOOKUP(J4,'Grade Scale'!$A$2:$A$13,'Grade Scale'!$C$2:$C$13)</f>
        <v/>
      </c>
      <c r="M4" s="4">
        <f>LOOKUP(F4,'Grade Scale'!$A$2:$A$13,'Grade Scale'!$C$2:$C$13)</f>
        <v/>
      </c>
      <c r="N4" s="4">
        <f>IF(I4=0,"",(F4-D4*E4/100)*100/I4)</f>
        <v/>
      </c>
      <c r="O4" s="4">
        <f>IF(I4=0,"",(F4+G4-D4*E4/100)*100/I4)</f>
        <v/>
      </c>
      <c r="P4" s="4">
        <f>J4-F4</f>
        <v/>
      </c>
      <c r="Q4" s="4">
        <f>SUMIF(Assignments!$A$2:$A$9,A4,Assignments!$M$2:$M$9)</f>
        <v/>
      </c>
      <c r="R4" s="4">
        <f>SUMIF('Daily Blocks'!$E$2:$E$57,A4,'Daily Blocks'!$D$2:$D$57)</f>
        <v/>
      </c>
      <c r="S4" s="4">
        <f>MAX(0,Q4-R4)</f>
        <v/>
      </c>
      <c r="T4" s="4">
        <f>IF(ABS(E4+I4-100)&lt;0.001,"OK","FIX WEIGHTS")</f>
        <v/>
      </c>
      <c r="U4" s="4">
        <f>IF(I4=0,"No remaining work",IF(N4&gt;100,"Target impossible under assumptions",IF(O4&gt;100,"Target feasible; buffer impossible","Target and buffer feasible")))</f>
        <v/>
      </c>
    </row>
    <row r="5">
      <c r="A5" s="2" t="inlineStr">
        <is>
          <t>STAT 210</t>
        </is>
      </c>
      <c r="B5" s="2" t="inlineStr">
        <is>
          <t>Statistics</t>
        </is>
      </c>
      <c r="C5" s="2" t="n">
        <v>3</v>
      </c>
      <c r="D5" s="2" t="n">
        <v>84</v>
      </c>
      <c r="E5" s="2" t="n">
        <v>70</v>
      </c>
      <c r="F5" s="2" t="n">
        <v>87</v>
      </c>
      <c r="G5" s="4">
        <f>Settings!$B$3</f>
        <v/>
      </c>
      <c r="H5" s="3" t="n">
        <v>46366</v>
      </c>
      <c r="I5" s="4">
        <f>SUMIF(Assignments!$A$2:$A$9,A5,Assignments!$E$2:$E$9)</f>
        <v/>
      </c>
      <c r="J5" s="4">
        <f>D5*E5/100+SUMIF(Assignments!$A$2:$A$9,A5,Assignments!$I$2:$I$9)</f>
        <v/>
      </c>
      <c r="K5" s="4">
        <f>LOOKUP(J5,'Grade Scale'!$A$2:$A$13,'Grade Scale'!$B$2:$B$13)</f>
        <v/>
      </c>
      <c r="L5" s="4">
        <f>LOOKUP(J5,'Grade Scale'!$A$2:$A$13,'Grade Scale'!$C$2:$C$13)</f>
        <v/>
      </c>
      <c r="M5" s="4">
        <f>LOOKUP(F5,'Grade Scale'!$A$2:$A$13,'Grade Scale'!$C$2:$C$13)</f>
        <v/>
      </c>
      <c r="N5" s="4">
        <f>IF(I5=0,"",(F5-D5*E5/100)*100/I5)</f>
        <v/>
      </c>
      <c r="O5" s="4">
        <f>IF(I5=0,"",(F5+G5-D5*E5/100)*100/I5)</f>
        <v/>
      </c>
      <c r="P5" s="4">
        <f>J5-F5</f>
        <v/>
      </c>
      <c r="Q5" s="4">
        <f>SUMIF(Assignments!$A$2:$A$9,A5,Assignments!$M$2:$M$9)</f>
        <v/>
      </c>
      <c r="R5" s="4">
        <f>SUMIF('Daily Blocks'!$E$2:$E$57,A5,'Daily Blocks'!$D$2:$D$57)</f>
        <v/>
      </c>
      <c r="S5" s="4">
        <f>MAX(0,Q5-R5)</f>
        <v/>
      </c>
      <c r="T5" s="4">
        <f>IF(ABS(E5+I5-100)&lt;0.001,"OK","FIX WEIGHTS")</f>
        <v/>
      </c>
      <c r="U5" s="4">
        <f>IF(I5=0,"No remaining work",IF(N5&gt;100,"Target impossible under assumptions",IF(O5&gt;100,"Target feasible; buffer impossible","Target and buffer feasible")))</f>
        <v/>
      </c>
    </row>
  </sheetData>
  <conditionalFormatting sqref="P2:P5">
    <cfRule type="colorScale" priority="1">
      <colorScale>
        <cfvo type="num" val="-5"/>
        <cfvo type="num" val="0"/>
        <cfvo type="num" val="5"/>
        <color rgb="00FECACA"/>
        <color rgb="00FEF3C7"/>
        <color rgb="00BBF7D0"/>
      </colorScale>
    </cfRule>
  </conditionalFormatting>
  <dataValidations count="1">
    <dataValidation sqref="D2:F5" showDropDown="0" showInputMessage="0" showErrorMessage="1" allowBlank="0" type="decimal" operator="between">
      <formula1>0</formula1>
      <formula2>100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7" customWidth="1" min="5" max="5"/>
    <col width="19" customWidth="1" min="6" max="6"/>
    <col width="25" customWidth="1" min="7" max="7"/>
    <col width="16" customWidth="1" min="8" max="8"/>
    <col width="24" customWidth="1" min="9" max="9"/>
    <col width="23" customWidth="1" min="10" max="10"/>
    <col width="16" customWidth="1" min="11" max="11"/>
    <col width="16" customWidth="1" min="12" max="12"/>
    <col width="17" customWidth="1" min="13" max="13"/>
    <col width="16" customWidth="1" min="14" max="14"/>
  </cols>
  <sheetData>
    <row r="1">
      <c r="A1" s="1" t="inlineStr">
        <is>
          <t>Course ID</t>
        </is>
      </c>
      <c r="B1" s="1" t="inlineStr">
        <is>
          <t>Item</t>
        </is>
      </c>
      <c r="C1" s="1" t="inlineStr">
        <is>
          <t>Type</t>
        </is>
      </c>
      <c r="D1" s="1" t="inlineStr">
        <is>
          <t>Due date</t>
        </is>
      </c>
      <c r="E1" s="1" t="inlineStr">
        <is>
          <t>Effective course weight %</t>
        </is>
      </c>
      <c r="F1" s="1" t="inlineStr">
        <is>
          <t>Projected score %</t>
        </is>
      </c>
      <c r="G1" s="1" t="inlineStr">
        <is>
          <t>Actual score % optional</t>
        </is>
      </c>
      <c r="H1" s="1" t="inlineStr">
        <is>
          <t>Score used %</t>
        </is>
      </c>
      <c r="I1" s="1" t="inlineStr">
        <is>
          <t>Course contribution pp</t>
        </is>
      </c>
      <c r="J1" s="1" t="inlineStr">
        <is>
          <t>Estimated total hours</t>
        </is>
      </c>
      <c r="K1" s="1" t="inlineStr">
        <is>
          <t>Hours spent</t>
        </is>
      </c>
      <c r="L1" s="1" t="inlineStr">
        <is>
          <t>Status</t>
        </is>
      </c>
      <c r="M1" s="1" t="inlineStr">
        <is>
          <t>Remaining hours</t>
        </is>
      </c>
      <c r="N1" s="1" t="inlineStr">
        <is>
          <t>Source</t>
        </is>
      </c>
    </row>
    <row r="2">
      <c r="A2" s="2" t="inlineStr">
        <is>
          <t>CS 201</t>
        </is>
      </c>
      <c r="B2" s="2" t="inlineStr">
        <is>
          <t>Final project / problem set</t>
        </is>
      </c>
      <c r="C2" s="2" t="inlineStr">
        <is>
          <t>Assignment</t>
        </is>
      </c>
      <c r="D2" s="3" t="n">
        <v>46344</v>
      </c>
      <c r="E2" s="2" t="n">
        <v>10</v>
      </c>
      <c r="F2" s="2" t="n">
        <v>90</v>
      </c>
      <c r="G2" s="2" t="inlineStr"/>
      <c r="H2" s="4">
        <f>IF(G2="",F2,G2)</f>
        <v/>
      </c>
      <c r="I2" s="4">
        <f>E2*H2/100</f>
        <v/>
      </c>
      <c r="J2" s="2" t="n">
        <v>5</v>
      </c>
      <c r="K2" s="2" t="n">
        <v>0</v>
      </c>
      <c r="L2" s="2" t="inlineStr">
        <is>
          <t>Not started</t>
        </is>
      </c>
      <c r="M2" s="4">
        <f>IF(OR(L2="Submitted",L2="Complete"),0,MAX(0,J2-K2))</f>
        <v/>
      </c>
      <c r="N2" s="2" t="inlineStr">
        <is>
          <t>Fictional sample</t>
        </is>
      </c>
    </row>
    <row r="3">
      <c r="A3" s="2" t="inlineStr">
        <is>
          <t>CS 201</t>
        </is>
      </c>
      <c r="B3" s="2" t="inlineStr">
        <is>
          <t>Final exam</t>
        </is>
      </c>
      <c r="C3" s="2" t="inlineStr">
        <is>
          <t>Exam</t>
        </is>
      </c>
      <c r="D3" s="3" t="n">
        <v>46363</v>
      </c>
      <c r="E3" s="2" t="n">
        <v>25</v>
      </c>
      <c r="F3" s="2" t="n">
        <v>92</v>
      </c>
      <c r="G3" s="2" t="inlineStr"/>
      <c r="H3" s="4">
        <f>IF(G3="",F3,G3)</f>
        <v/>
      </c>
      <c r="I3" s="4">
        <f>E3*H3/100</f>
        <v/>
      </c>
      <c r="J3" s="2" t="n">
        <v>16</v>
      </c>
      <c r="K3" s="2" t="n">
        <v>0</v>
      </c>
      <c r="L3" s="2" t="inlineStr">
        <is>
          <t>Not started</t>
        </is>
      </c>
      <c r="M3" s="4">
        <f>IF(OR(L3="Submitted",L3="Complete"),0,MAX(0,J3-K3))</f>
        <v/>
      </c>
      <c r="N3" s="2" t="inlineStr">
        <is>
          <t>Fictional sample</t>
        </is>
      </c>
    </row>
    <row r="4">
      <c r="A4" s="2" t="inlineStr">
        <is>
          <t>MATH 221</t>
        </is>
      </c>
      <c r="B4" s="2" t="inlineStr">
        <is>
          <t>Final project / problem set</t>
        </is>
      </c>
      <c r="C4" s="2" t="inlineStr">
        <is>
          <t>Assignment</t>
        </is>
      </c>
      <c r="D4" s="3" t="n">
        <v>46345</v>
      </c>
      <c r="E4" s="2" t="n">
        <v>10</v>
      </c>
      <c r="F4" s="2" t="n">
        <v>92</v>
      </c>
      <c r="G4" s="2" t="inlineStr"/>
      <c r="H4" s="4">
        <f>IF(G4="",F4,G4)</f>
        <v/>
      </c>
      <c r="I4" s="4">
        <f>E4*H4/100</f>
        <v/>
      </c>
      <c r="J4" s="2" t="n">
        <v>5</v>
      </c>
      <c r="K4" s="2" t="n">
        <v>0</v>
      </c>
      <c r="L4" s="2" t="inlineStr">
        <is>
          <t>Not started</t>
        </is>
      </c>
      <c r="M4" s="4">
        <f>IF(OR(L4="Submitted",L4="Complete"),0,MAX(0,J4-K4))</f>
        <v/>
      </c>
      <c r="N4" s="2" t="inlineStr">
        <is>
          <t>Fictional sample</t>
        </is>
      </c>
    </row>
    <row r="5">
      <c r="A5" s="2" t="inlineStr">
        <is>
          <t>MATH 221</t>
        </is>
      </c>
      <c r="B5" s="2" t="inlineStr">
        <is>
          <t>Final exam</t>
        </is>
      </c>
      <c r="C5" s="2" t="inlineStr">
        <is>
          <t>Exam</t>
        </is>
      </c>
      <c r="D5" s="3" t="n">
        <v>46364</v>
      </c>
      <c r="E5" s="2" t="n">
        <v>20</v>
      </c>
      <c r="F5" s="2" t="n">
        <v>91</v>
      </c>
      <c r="G5" s="2" t="inlineStr"/>
      <c r="H5" s="4">
        <f>IF(G5="",F5,G5)</f>
        <v/>
      </c>
      <c r="I5" s="4">
        <f>E5*H5/100</f>
        <v/>
      </c>
      <c r="J5" s="2" t="n">
        <v>16</v>
      </c>
      <c r="K5" s="2" t="n">
        <v>0</v>
      </c>
      <c r="L5" s="2" t="inlineStr">
        <is>
          <t>Not started</t>
        </is>
      </c>
      <c r="M5" s="4">
        <f>IF(OR(L5="Submitted",L5="Complete"),0,MAX(0,J5-K5))</f>
        <v/>
      </c>
      <c r="N5" s="2" t="inlineStr">
        <is>
          <t>Fictional sample</t>
        </is>
      </c>
    </row>
    <row r="6">
      <c r="A6" s="2" t="inlineStr">
        <is>
          <t>CS 240</t>
        </is>
      </c>
      <c r="B6" s="2" t="inlineStr">
        <is>
          <t>Final project / problem set</t>
        </is>
      </c>
      <c r="C6" s="2" t="inlineStr">
        <is>
          <t>Assignment</t>
        </is>
      </c>
      <c r="D6" s="3" t="n">
        <v>46346</v>
      </c>
      <c r="E6" s="2" t="n">
        <v>10</v>
      </c>
      <c r="F6" s="2" t="n">
        <v>95</v>
      </c>
      <c r="G6" s="2" t="inlineStr"/>
      <c r="H6" s="4">
        <f>IF(G6="",F6,G6)</f>
        <v/>
      </c>
      <c r="I6" s="4">
        <f>E6*H6/100</f>
        <v/>
      </c>
      <c r="J6" s="2" t="n">
        <v>5</v>
      </c>
      <c r="K6" s="2" t="n">
        <v>0</v>
      </c>
      <c r="L6" s="2" t="inlineStr">
        <is>
          <t>Not started</t>
        </is>
      </c>
      <c r="M6" s="4">
        <f>IF(OR(L6="Submitted",L6="Complete"),0,MAX(0,J6-K6))</f>
        <v/>
      </c>
      <c r="N6" s="2" t="inlineStr">
        <is>
          <t>Fictional sample</t>
        </is>
      </c>
    </row>
    <row r="7">
      <c r="A7" s="2" t="inlineStr">
        <is>
          <t>CS 240</t>
        </is>
      </c>
      <c r="B7" s="2" t="inlineStr">
        <is>
          <t>Final exam</t>
        </is>
      </c>
      <c r="C7" s="2" t="inlineStr">
        <is>
          <t>Exam</t>
        </is>
      </c>
      <c r="D7" s="3" t="n">
        <v>46365</v>
      </c>
      <c r="E7" s="2" t="n">
        <v>25</v>
      </c>
      <c r="F7" s="2" t="n">
        <v>94</v>
      </c>
      <c r="G7" s="2" t="inlineStr"/>
      <c r="H7" s="4">
        <f>IF(G7="",F7,G7)</f>
        <v/>
      </c>
      <c r="I7" s="4">
        <f>E7*H7/100</f>
        <v/>
      </c>
      <c r="J7" s="2" t="n">
        <v>16</v>
      </c>
      <c r="K7" s="2" t="n">
        <v>0</v>
      </c>
      <c r="L7" s="2" t="inlineStr">
        <is>
          <t>Not started</t>
        </is>
      </c>
      <c r="M7" s="4">
        <f>IF(OR(L7="Submitted",L7="Complete"),0,MAX(0,J7-K7))</f>
        <v/>
      </c>
      <c r="N7" s="2" t="inlineStr">
        <is>
          <t>Fictional sample</t>
        </is>
      </c>
    </row>
    <row r="8">
      <c r="A8" s="2" t="inlineStr">
        <is>
          <t>STAT 210</t>
        </is>
      </c>
      <c r="B8" s="2" t="inlineStr">
        <is>
          <t>Final project / problem set</t>
        </is>
      </c>
      <c r="C8" s="2" t="inlineStr">
        <is>
          <t>Assignment</t>
        </is>
      </c>
      <c r="D8" s="3" t="n">
        <v>46347</v>
      </c>
      <c r="E8" s="2" t="n">
        <v>10</v>
      </c>
      <c r="F8" s="2" t="n">
        <v>90</v>
      </c>
      <c r="G8" s="2" t="inlineStr"/>
      <c r="H8" s="4">
        <f>IF(G8="",F8,G8)</f>
        <v/>
      </c>
      <c r="I8" s="4">
        <f>E8*H8/100</f>
        <v/>
      </c>
      <c r="J8" s="2" t="n">
        <v>5</v>
      </c>
      <c r="K8" s="2" t="n">
        <v>0</v>
      </c>
      <c r="L8" s="2" t="inlineStr">
        <is>
          <t>Not started</t>
        </is>
      </c>
      <c r="M8" s="4">
        <f>IF(OR(L8="Submitted",L8="Complete"),0,MAX(0,J8-K8))</f>
        <v/>
      </c>
      <c r="N8" s="2" t="inlineStr">
        <is>
          <t>Fictional sample</t>
        </is>
      </c>
    </row>
    <row r="9">
      <c r="A9" s="2" t="inlineStr">
        <is>
          <t>STAT 210</t>
        </is>
      </c>
      <c r="B9" s="2" t="inlineStr">
        <is>
          <t>Final exam</t>
        </is>
      </c>
      <c r="C9" s="2" t="inlineStr">
        <is>
          <t>Exam</t>
        </is>
      </c>
      <c r="D9" s="3" t="n">
        <v>46366</v>
      </c>
      <c r="E9" s="2" t="n">
        <v>20</v>
      </c>
      <c r="F9" s="2" t="n">
        <v>90</v>
      </c>
      <c r="G9" s="2" t="inlineStr"/>
      <c r="H9" s="4">
        <f>IF(G9="",F9,G9)</f>
        <v/>
      </c>
      <c r="I9" s="4">
        <f>E9*H9/100</f>
        <v/>
      </c>
      <c r="J9" s="2" t="n">
        <v>16</v>
      </c>
      <c r="K9" s="2" t="n">
        <v>0</v>
      </c>
      <c r="L9" s="2" t="inlineStr">
        <is>
          <t>Not started</t>
        </is>
      </c>
      <c r="M9" s="4">
        <f>IF(OR(L9="Submitted",L9="Complete"),0,MAX(0,J9-K9))</f>
        <v/>
      </c>
      <c r="N9" s="2" t="inlineStr">
        <is>
          <t>Fictional sample</t>
        </is>
      </c>
    </row>
  </sheetData>
  <dataValidations count="2">
    <dataValidation sqref="E2:G9" showDropDown="0" showInputMessage="0" showErrorMessage="1" allowBlank="0" type="decimal" operator="between">
      <formula1>0</formula1>
      <formula2>100</formula2>
    </dataValidation>
    <dataValidation sqref="L2:L9" showDropDown="0" showInputMessage="0" showErrorMessage="0" allowBlank="0" type="list">
      <formula1>"Not started,In progress,Submitted,Complete"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22" customWidth="1" min="10" max="10"/>
  </cols>
  <sheetData>
    <row r="1">
      <c r="A1" s="1" t="inlineStr">
        <is>
          <t>Date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Hours</t>
        </is>
      </c>
      <c r="E1" s="1" t="inlineStr">
        <is>
          <t>Course ID</t>
        </is>
      </c>
      <c r="F1" s="1" t="inlineStr">
        <is>
          <t>Subject priority</t>
        </is>
      </c>
      <c r="G1" s="1" t="inlineStr">
        <is>
          <t>Focus</t>
        </is>
      </c>
      <c r="H1" s="1" t="inlineStr">
        <is>
          <t>Topic / item</t>
        </is>
      </c>
      <c r="I1" s="1" t="inlineStr">
        <is>
          <t>Status</t>
        </is>
      </c>
      <c r="J1" s="1" t="inlineStr">
        <is>
          <t>Daily capacity check</t>
        </is>
      </c>
    </row>
    <row r="2">
      <c r="A2" s="3" t="n">
        <v>46335</v>
      </c>
      <c r="B2" s="5" t="n">
        <v>0.7083333333333334</v>
      </c>
      <c r="C2" s="5" t="n">
        <v>0.7708333333333334</v>
      </c>
      <c r="D2" s="2" t="n">
        <v>1.5</v>
      </c>
      <c r="E2" s="2" t="inlineStr">
        <is>
          <t>CS 201</t>
        </is>
      </c>
      <c r="F2" s="2" t="inlineStr">
        <is>
          <t>Review course buffer and required score</t>
        </is>
      </c>
      <c r="G2" s="2" t="inlineStr">
        <is>
          <t>Map gaps / assignment work</t>
        </is>
      </c>
      <c r="H2" s="2" t="inlineStr">
        <is>
          <t>Final project / problem set</t>
        </is>
      </c>
      <c r="I2" s="2" t="inlineStr">
        <is>
          <t>Planned</t>
        </is>
      </c>
      <c r="J2" s="4">
        <f>IF(SUMIF($A$2:$A$57,A2,$D$2:$D$57)&gt;Settings!$B$5,"OVER CAPACITY","Within capacity")</f>
        <v/>
      </c>
    </row>
    <row r="3">
      <c r="A3" s="3" t="n">
        <v>46335</v>
      </c>
      <c r="B3" s="5" t="n">
        <v>0.7916666666666666</v>
      </c>
      <c r="C3" s="5" t="n">
        <v>0.8541666666666666</v>
      </c>
      <c r="D3" s="2" t="n">
        <v>1.5</v>
      </c>
      <c r="E3" s="2" t="inlineStr">
        <is>
          <t>MATH 221</t>
        </is>
      </c>
      <c r="F3" s="2" t="inlineStr">
        <is>
          <t>Review course buffer and required score</t>
        </is>
      </c>
      <c r="G3" s="2" t="inlineStr">
        <is>
          <t>Map gaps / assignment work</t>
        </is>
      </c>
      <c r="H3" s="2" t="inlineStr">
        <is>
          <t>Final project / problem set</t>
        </is>
      </c>
      <c r="I3" s="2" t="inlineStr">
        <is>
          <t>Planned</t>
        </is>
      </c>
      <c r="J3" s="4">
        <f>IF(SUMIF($A$2:$A$57,A3,$D$2:$D$57)&gt;Settings!$B$5,"OVER CAPACITY","Within capacity")</f>
        <v/>
      </c>
    </row>
    <row r="4">
      <c r="A4" s="3" t="n">
        <v>46336</v>
      </c>
      <c r="B4" s="5" t="n">
        <v>0.7083333333333334</v>
      </c>
      <c r="C4" s="5" t="n">
        <v>0.7708333333333334</v>
      </c>
      <c r="D4" s="2" t="n">
        <v>1.5</v>
      </c>
      <c r="E4" s="2" t="inlineStr">
        <is>
          <t>CS 240</t>
        </is>
      </c>
      <c r="F4" s="2" t="inlineStr">
        <is>
          <t>Review course buffer and required score</t>
        </is>
      </c>
      <c r="G4" s="2" t="inlineStr">
        <is>
          <t>Map gaps / assignment work</t>
        </is>
      </c>
      <c r="H4" s="2" t="inlineStr">
        <is>
          <t>Final project / problem set</t>
        </is>
      </c>
      <c r="I4" s="2" t="inlineStr">
        <is>
          <t>Planned</t>
        </is>
      </c>
      <c r="J4" s="4">
        <f>IF(SUMIF($A$2:$A$57,A4,$D$2:$D$57)&gt;Settings!$B$5,"OVER CAPACITY","Within capacity")</f>
        <v/>
      </c>
    </row>
    <row r="5">
      <c r="A5" s="3" t="n">
        <v>46336</v>
      </c>
      <c r="B5" s="5" t="n">
        <v>0.7916666666666666</v>
      </c>
      <c r="C5" s="5" t="n">
        <v>0.8541666666666666</v>
      </c>
      <c r="D5" s="2" t="n">
        <v>1.5</v>
      </c>
      <c r="E5" s="2" t="inlineStr">
        <is>
          <t>STAT 210</t>
        </is>
      </c>
      <c r="F5" s="2" t="inlineStr">
        <is>
          <t>Review course buffer and required score</t>
        </is>
      </c>
      <c r="G5" s="2" t="inlineStr">
        <is>
          <t>Map gaps / assignment work</t>
        </is>
      </c>
      <c r="H5" s="2" t="inlineStr">
        <is>
          <t>Final project / problem set</t>
        </is>
      </c>
      <c r="I5" s="2" t="inlineStr">
        <is>
          <t>Planned</t>
        </is>
      </c>
      <c r="J5" s="4">
        <f>IF(SUMIF($A$2:$A$57,A5,$D$2:$D$57)&gt;Settings!$B$5,"OVER CAPACITY","Within capacity")</f>
        <v/>
      </c>
    </row>
    <row r="6">
      <c r="A6" s="3" t="n">
        <v>46337</v>
      </c>
      <c r="B6" s="5" t="n">
        <v>0.7083333333333334</v>
      </c>
      <c r="C6" s="5" t="n">
        <v>0.7708333333333334</v>
      </c>
      <c r="D6" s="2" t="n">
        <v>1.5</v>
      </c>
      <c r="E6" s="2" t="inlineStr">
        <is>
          <t>CS 201</t>
        </is>
      </c>
      <c r="F6" s="2" t="inlineStr">
        <is>
          <t>Review course buffer and required score</t>
        </is>
      </c>
      <c r="G6" s="2" t="inlineStr">
        <is>
          <t>Map gaps / assignment work</t>
        </is>
      </c>
      <c r="H6" s="2" t="inlineStr">
        <is>
          <t>Final project / problem set</t>
        </is>
      </c>
      <c r="I6" s="2" t="inlineStr">
        <is>
          <t>Planned</t>
        </is>
      </c>
      <c r="J6" s="4">
        <f>IF(SUMIF($A$2:$A$57,A6,$D$2:$D$57)&gt;Settings!$B$5,"OVER CAPACITY","Within capacity")</f>
        <v/>
      </c>
    </row>
    <row r="7">
      <c r="A7" s="3" t="n">
        <v>46337</v>
      </c>
      <c r="B7" s="5" t="n">
        <v>0.7916666666666666</v>
      </c>
      <c r="C7" s="5" t="n">
        <v>0.8541666666666666</v>
      </c>
      <c r="D7" s="2" t="n">
        <v>1.5</v>
      </c>
      <c r="E7" s="2" t="inlineStr">
        <is>
          <t>MATH 221</t>
        </is>
      </c>
      <c r="F7" s="2" t="inlineStr">
        <is>
          <t>Review course buffer and required score</t>
        </is>
      </c>
      <c r="G7" s="2" t="inlineStr">
        <is>
          <t>Map gaps / assignment work</t>
        </is>
      </c>
      <c r="H7" s="2" t="inlineStr">
        <is>
          <t>Final project / problem set</t>
        </is>
      </c>
      <c r="I7" s="2" t="inlineStr">
        <is>
          <t>Planned</t>
        </is>
      </c>
      <c r="J7" s="4">
        <f>IF(SUMIF($A$2:$A$57,A7,$D$2:$D$57)&gt;Settings!$B$5,"OVER CAPACITY","Within capacity")</f>
        <v/>
      </c>
    </row>
    <row r="8">
      <c r="A8" s="3" t="n">
        <v>46338</v>
      </c>
      <c r="B8" s="5" t="n">
        <v>0.7083333333333334</v>
      </c>
      <c r="C8" s="5" t="n">
        <v>0.7708333333333334</v>
      </c>
      <c r="D8" s="2" t="n">
        <v>1.5</v>
      </c>
      <c r="E8" s="2" t="inlineStr">
        <is>
          <t>CS 240</t>
        </is>
      </c>
      <c r="F8" s="2" t="inlineStr">
        <is>
          <t>Review course buffer and required score</t>
        </is>
      </c>
      <c r="G8" s="2" t="inlineStr">
        <is>
          <t>Map gaps / assignment work</t>
        </is>
      </c>
      <c r="H8" s="2" t="inlineStr">
        <is>
          <t>Final project / problem set</t>
        </is>
      </c>
      <c r="I8" s="2" t="inlineStr">
        <is>
          <t>Planned</t>
        </is>
      </c>
      <c r="J8" s="4">
        <f>IF(SUMIF($A$2:$A$57,A8,$D$2:$D$57)&gt;Settings!$B$5,"OVER CAPACITY","Within capacity")</f>
        <v/>
      </c>
    </row>
    <row r="9">
      <c r="A9" s="3" t="n">
        <v>46338</v>
      </c>
      <c r="B9" s="5" t="n">
        <v>0.7916666666666666</v>
      </c>
      <c r="C9" s="5" t="n">
        <v>0.8541666666666666</v>
      </c>
      <c r="D9" s="2" t="n">
        <v>1.5</v>
      </c>
      <c r="E9" s="2" t="inlineStr">
        <is>
          <t>STAT 210</t>
        </is>
      </c>
      <c r="F9" s="2" t="inlineStr">
        <is>
          <t>Review course buffer and required score</t>
        </is>
      </c>
      <c r="G9" s="2" t="inlineStr">
        <is>
          <t>Map gaps / assignment work</t>
        </is>
      </c>
      <c r="H9" s="2" t="inlineStr">
        <is>
          <t>Final project / problem set</t>
        </is>
      </c>
      <c r="I9" s="2" t="inlineStr">
        <is>
          <t>Planned</t>
        </is>
      </c>
      <c r="J9" s="4">
        <f>IF(SUMIF($A$2:$A$57,A9,$D$2:$D$57)&gt;Settings!$B$5,"OVER CAPACITY","Within capacity")</f>
        <v/>
      </c>
    </row>
    <row r="10">
      <c r="A10" s="3" t="n">
        <v>46339</v>
      </c>
      <c r="B10" s="5" t="n">
        <v>0.7083333333333334</v>
      </c>
      <c r="C10" s="5" t="n">
        <v>0.7708333333333334</v>
      </c>
      <c r="D10" s="2" t="n">
        <v>1.5</v>
      </c>
      <c r="E10" s="2" t="inlineStr">
        <is>
          <t>CS 201</t>
        </is>
      </c>
      <c r="F10" s="2" t="inlineStr">
        <is>
          <t>Review course buffer and required score</t>
        </is>
      </c>
      <c r="G10" s="2" t="inlineStr">
        <is>
          <t>Map gaps / assignment work</t>
        </is>
      </c>
      <c r="H10" s="2" t="inlineStr">
        <is>
          <t>Final project / problem set</t>
        </is>
      </c>
      <c r="I10" s="2" t="inlineStr">
        <is>
          <t>Planned</t>
        </is>
      </c>
      <c r="J10" s="4">
        <f>IF(SUMIF($A$2:$A$57,A10,$D$2:$D$57)&gt;Settings!$B$5,"OVER CAPACITY","Within capacity")</f>
        <v/>
      </c>
    </row>
    <row r="11">
      <c r="A11" s="3" t="n">
        <v>46339</v>
      </c>
      <c r="B11" s="5" t="n">
        <v>0.7916666666666666</v>
      </c>
      <c r="C11" s="5" t="n">
        <v>0.8541666666666666</v>
      </c>
      <c r="D11" s="2" t="n">
        <v>1.5</v>
      </c>
      <c r="E11" s="2" t="inlineStr">
        <is>
          <t>MATH 221</t>
        </is>
      </c>
      <c r="F11" s="2" t="inlineStr">
        <is>
          <t>Review course buffer and required score</t>
        </is>
      </c>
      <c r="G11" s="2" t="inlineStr">
        <is>
          <t>Map gaps / assignment work</t>
        </is>
      </c>
      <c r="H11" s="2" t="inlineStr">
        <is>
          <t>Final project / problem set</t>
        </is>
      </c>
      <c r="I11" s="2" t="inlineStr">
        <is>
          <t>Planned</t>
        </is>
      </c>
      <c r="J11" s="4">
        <f>IF(SUMIF($A$2:$A$57,A11,$D$2:$D$57)&gt;Settings!$B$5,"OVER CAPACITY","Within capacity")</f>
        <v/>
      </c>
    </row>
    <row r="12">
      <c r="A12" s="3" t="n">
        <v>46340</v>
      </c>
      <c r="B12" s="5" t="n">
        <v>0.7083333333333334</v>
      </c>
      <c r="C12" s="5" t="n">
        <v>0.7708333333333334</v>
      </c>
      <c r="D12" s="2" t="n">
        <v>1.5</v>
      </c>
      <c r="E12" s="2" t="inlineStr">
        <is>
          <t>CS 240</t>
        </is>
      </c>
      <c r="F12" s="2" t="inlineStr">
        <is>
          <t>Review course buffer and required score</t>
        </is>
      </c>
      <c r="G12" s="2" t="inlineStr">
        <is>
          <t>Map gaps / assignment work</t>
        </is>
      </c>
      <c r="H12" s="2" t="inlineStr">
        <is>
          <t>Final project / problem set</t>
        </is>
      </c>
      <c r="I12" s="2" t="inlineStr">
        <is>
          <t>Planned</t>
        </is>
      </c>
      <c r="J12" s="4">
        <f>IF(SUMIF($A$2:$A$57,A12,$D$2:$D$57)&gt;Settings!$B$5,"OVER CAPACITY","Within capacity")</f>
        <v/>
      </c>
    </row>
    <row r="13">
      <c r="A13" s="3" t="n">
        <v>46340</v>
      </c>
      <c r="B13" s="5" t="n">
        <v>0.7916666666666666</v>
      </c>
      <c r="C13" s="5" t="n">
        <v>0.8541666666666666</v>
      </c>
      <c r="D13" s="2" t="n">
        <v>1.5</v>
      </c>
      <c r="E13" s="2" t="inlineStr">
        <is>
          <t>STAT 210</t>
        </is>
      </c>
      <c r="F13" s="2" t="inlineStr">
        <is>
          <t>Review course buffer and required score</t>
        </is>
      </c>
      <c r="G13" s="2" t="inlineStr">
        <is>
          <t>Map gaps / assignment work</t>
        </is>
      </c>
      <c r="H13" s="2" t="inlineStr">
        <is>
          <t>Final project / problem set</t>
        </is>
      </c>
      <c r="I13" s="2" t="inlineStr">
        <is>
          <t>Planned</t>
        </is>
      </c>
      <c r="J13" s="4">
        <f>IF(SUMIF($A$2:$A$57,A13,$D$2:$D$57)&gt;Settings!$B$5,"OVER CAPACITY","Within capacity")</f>
        <v/>
      </c>
    </row>
    <row r="14">
      <c r="A14" s="3" t="n">
        <v>46341</v>
      </c>
      <c r="B14" s="5" t="n">
        <v>0.7083333333333334</v>
      </c>
      <c r="C14" s="5" t="n">
        <v>0.7708333333333334</v>
      </c>
      <c r="D14" s="2" t="n">
        <v>1.5</v>
      </c>
      <c r="E14" s="2" t="inlineStr">
        <is>
          <t>CS 201</t>
        </is>
      </c>
      <c r="F14" s="2" t="inlineStr">
        <is>
          <t>Review course buffer and required score</t>
        </is>
      </c>
      <c r="G14" s="2" t="inlineStr">
        <is>
          <t>Map gaps / assignment work</t>
        </is>
      </c>
      <c r="H14" s="2" t="inlineStr">
        <is>
          <t>Final project / problem set</t>
        </is>
      </c>
      <c r="I14" s="2" t="inlineStr">
        <is>
          <t>Planned</t>
        </is>
      </c>
      <c r="J14" s="4">
        <f>IF(SUMIF($A$2:$A$57,A14,$D$2:$D$57)&gt;Settings!$B$5,"OVER CAPACITY","Within capacity")</f>
        <v/>
      </c>
    </row>
    <row r="15">
      <c r="A15" s="3" t="n">
        <v>46341</v>
      </c>
      <c r="B15" s="5" t="n">
        <v>0.7916666666666666</v>
      </c>
      <c r="C15" s="5" t="n">
        <v>0.8541666666666666</v>
      </c>
      <c r="D15" s="2" t="n">
        <v>1.5</v>
      </c>
      <c r="E15" s="2" t="inlineStr">
        <is>
          <t>MATH 221</t>
        </is>
      </c>
      <c r="F15" s="2" t="inlineStr">
        <is>
          <t>Review course buffer and required score</t>
        </is>
      </c>
      <c r="G15" s="2" t="inlineStr">
        <is>
          <t>Map gaps / assignment work</t>
        </is>
      </c>
      <c r="H15" s="2" t="inlineStr">
        <is>
          <t>Final project / problem set</t>
        </is>
      </c>
      <c r="I15" s="2" t="inlineStr">
        <is>
          <t>Planned</t>
        </is>
      </c>
      <c r="J15" s="4">
        <f>IF(SUMIF($A$2:$A$57,A15,$D$2:$D$57)&gt;Settings!$B$5,"OVER CAPACITY","Within capacity")</f>
        <v/>
      </c>
    </row>
    <row r="16">
      <c r="A16" s="3" t="n">
        <v>46342</v>
      </c>
      <c r="B16" s="5" t="n">
        <v>0.7083333333333334</v>
      </c>
      <c r="C16" s="5" t="n">
        <v>0.7708333333333334</v>
      </c>
      <c r="D16" s="2" t="n">
        <v>1.5</v>
      </c>
      <c r="E16" s="2" t="inlineStr">
        <is>
          <t>CS 240</t>
        </is>
      </c>
      <c r="F16" s="2" t="inlineStr">
        <is>
          <t>Review course buffer and required score</t>
        </is>
      </c>
      <c r="G16" s="2" t="inlineStr">
        <is>
          <t>Targeted practice</t>
        </is>
      </c>
      <c r="H16" s="2" t="inlineStr">
        <is>
          <t>File systems</t>
        </is>
      </c>
      <c r="I16" s="2" t="inlineStr">
        <is>
          <t>Planned</t>
        </is>
      </c>
      <c r="J16" s="4">
        <f>IF(SUMIF($A$2:$A$57,A16,$D$2:$D$57)&gt;Settings!$B$5,"OVER CAPACITY","Within capacity")</f>
        <v/>
      </c>
    </row>
    <row r="17">
      <c r="A17" s="3" t="n">
        <v>46342</v>
      </c>
      <c r="B17" s="5" t="n">
        <v>0.7916666666666666</v>
      </c>
      <c r="C17" s="5" t="n">
        <v>0.8541666666666666</v>
      </c>
      <c r="D17" s="2" t="n">
        <v>1.5</v>
      </c>
      <c r="E17" s="2" t="inlineStr">
        <is>
          <t>STAT 210</t>
        </is>
      </c>
      <c r="F17" s="2" t="inlineStr">
        <is>
          <t>Review course buffer and required score</t>
        </is>
      </c>
      <c r="G17" s="2" t="inlineStr">
        <is>
          <t>Targeted practice</t>
        </is>
      </c>
      <c r="H17" s="2" t="inlineStr">
        <is>
          <t>Estimation</t>
        </is>
      </c>
      <c r="I17" s="2" t="inlineStr">
        <is>
          <t>Planned</t>
        </is>
      </c>
      <c r="J17" s="4">
        <f>IF(SUMIF($A$2:$A$57,A17,$D$2:$D$57)&gt;Settings!$B$5,"OVER CAPACITY","Within capacity")</f>
        <v/>
      </c>
    </row>
    <row r="18">
      <c r="A18" s="3" t="n">
        <v>46343</v>
      </c>
      <c r="B18" s="5" t="n">
        <v>0.7083333333333334</v>
      </c>
      <c r="C18" s="5" t="n">
        <v>0.7708333333333334</v>
      </c>
      <c r="D18" s="2" t="n">
        <v>1.5</v>
      </c>
      <c r="E18" s="2" t="inlineStr">
        <is>
          <t>CS 201</t>
        </is>
      </c>
      <c r="F18" s="2" t="inlineStr">
        <is>
          <t>Review course buffer and required score</t>
        </is>
      </c>
      <c r="G18" s="2" t="inlineStr">
        <is>
          <t>Targeted practice</t>
        </is>
      </c>
      <c r="H18" s="2" t="inlineStr">
        <is>
          <t>Graphs</t>
        </is>
      </c>
      <c r="I18" s="2" t="inlineStr">
        <is>
          <t>Planned</t>
        </is>
      </c>
      <c r="J18" s="4">
        <f>IF(SUMIF($A$2:$A$57,A18,$D$2:$D$57)&gt;Settings!$B$5,"OVER CAPACITY","Within capacity")</f>
        <v/>
      </c>
    </row>
    <row r="19">
      <c r="A19" s="3" t="n">
        <v>46343</v>
      </c>
      <c r="B19" s="5" t="n">
        <v>0.7916666666666666</v>
      </c>
      <c r="C19" s="5" t="n">
        <v>0.8541666666666666</v>
      </c>
      <c r="D19" s="2" t="n">
        <v>1.5</v>
      </c>
      <c r="E19" s="2" t="inlineStr">
        <is>
          <t>MATH 221</t>
        </is>
      </c>
      <c r="F19" s="2" t="inlineStr">
        <is>
          <t>Review course buffer and required score</t>
        </is>
      </c>
      <c r="G19" s="2" t="inlineStr">
        <is>
          <t>Targeted practice</t>
        </is>
      </c>
      <c r="H19" s="2" t="inlineStr">
        <is>
          <t>Eigenvalues</t>
        </is>
      </c>
      <c r="I19" s="2" t="inlineStr">
        <is>
          <t>Planned</t>
        </is>
      </c>
      <c r="J19" s="4">
        <f>IF(SUMIF($A$2:$A$57,A19,$D$2:$D$57)&gt;Settings!$B$5,"OVER CAPACITY","Within capacity")</f>
        <v/>
      </c>
    </row>
    <row r="20">
      <c r="A20" s="3" t="n">
        <v>46344</v>
      </c>
      <c r="B20" s="5" t="n">
        <v>0.7083333333333334</v>
      </c>
      <c r="C20" s="5" t="n">
        <v>0.7708333333333334</v>
      </c>
      <c r="D20" s="2" t="n">
        <v>1.5</v>
      </c>
      <c r="E20" s="2" t="inlineStr">
        <is>
          <t>CS 240</t>
        </is>
      </c>
      <c r="F20" s="2" t="inlineStr">
        <is>
          <t>Review course buffer and required score</t>
        </is>
      </c>
      <c r="G20" s="2" t="inlineStr">
        <is>
          <t>Targeted practice</t>
        </is>
      </c>
      <c r="H20" s="2" t="inlineStr">
        <is>
          <t>Concurrency</t>
        </is>
      </c>
      <c r="I20" s="2" t="inlineStr">
        <is>
          <t>Planned</t>
        </is>
      </c>
      <c r="J20" s="4">
        <f>IF(SUMIF($A$2:$A$57,A20,$D$2:$D$57)&gt;Settings!$B$5,"OVER CAPACITY","Within capacity")</f>
        <v/>
      </c>
    </row>
    <row r="21">
      <c r="A21" s="3" t="n">
        <v>46344</v>
      </c>
      <c r="B21" s="5" t="n">
        <v>0.7916666666666666</v>
      </c>
      <c r="C21" s="5" t="n">
        <v>0.8541666666666666</v>
      </c>
      <c r="D21" s="2" t="n">
        <v>1.5</v>
      </c>
      <c r="E21" s="2" t="inlineStr">
        <is>
          <t>STAT 210</t>
        </is>
      </c>
      <c r="F21" s="2" t="inlineStr">
        <is>
          <t>Review course buffer and required score</t>
        </is>
      </c>
      <c r="G21" s="2" t="inlineStr">
        <is>
          <t>Targeted practice</t>
        </is>
      </c>
      <c r="H21" s="2" t="inlineStr">
        <is>
          <t>Regression</t>
        </is>
      </c>
      <c r="I21" s="2" t="inlineStr">
        <is>
          <t>Planned</t>
        </is>
      </c>
      <c r="J21" s="4">
        <f>IF(SUMIF($A$2:$A$57,A21,$D$2:$D$57)&gt;Settings!$B$5,"OVER CAPACITY","Within capacity")</f>
        <v/>
      </c>
    </row>
    <row r="22">
      <c r="A22" s="3" t="n">
        <v>46345</v>
      </c>
      <c r="B22" s="5" t="n">
        <v>0.7083333333333334</v>
      </c>
      <c r="C22" s="5" t="n">
        <v>0.7708333333333334</v>
      </c>
      <c r="D22" s="2" t="n">
        <v>1.5</v>
      </c>
      <c r="E22" s="2" t="inlineStr">
        <is>
          <t>CS 201</t>
        </is>
      </c>
      <c r="F22" s="2" t="inlineStr">
        <is>
          <t>Review course buffer and required score</t>
        </is>
      </c>
      <c r="G22" s="2" t="inlineStr">
        <is>
          <t>Targeted practice</t>
        </is>
      </c>
      <c r="H22" s="2" t="inlineStr">
        <is>
          <t>Complexity</t>
        </is>
      </c>
      <c r="I22" s="2" t="inlineStr">
        <is>
          <t>Planned</t>
        </is>
      </c>
      <c r="J22" s="4">
        <f>IF(SUMIF($A$2:$A$57,A22,$D$2:$D$57)&gt;Settings!$B$5,"OVER CAPACITY","Within capacity")</f>
        <v/>
      </c>
    </row>
    <row r="23">
      <c r="A23" s="3" t="n">
        <v>46345</v>
      </c>
      <c r="B23" s="5" t="n">
        <v>0.7916666666666666</v>
      </c>
      <c r="C23" s="5" t="n">
        <v>0.8541666666666666</v>
      </c>
      <c r="D23" s="2" t="n">
        <v>1.5</v>
      </c>
      <c r="E23" s="2" t="inlineStr">
        <is>
          <t>MATH 221</t>
        </is>
      </c>
      <c r="F23" s="2" t="inlineStr">
        <is>
          <t>Review course buffer and required score</t>
        </is>
      </c>
      <c r="G23" s="2" t="inlineStr">
        <is>
          <t>Targeted practice</t>
        </is>
      </c>
      <c r="H23" s="2" t="inlineStr">
        <is>
          <t>Orthogonality</t>
        </is>
      </c>
      <c r="I23" s="2" t="inlineStr">
        <is>
          <t>Planned</t>
        </is>
      </c>
      <c r="J23" s="4">
        <f>IF(SUMIF($A$2:$A$57,A23,$D$2:$D$57)&gt;Settings!$B$5,"OVER CAPACITY","Within capacity")</f>
        <v/>
      </c>
    </row>
    <row r="24">
      <c r="A24" s="3" t="n">
        <v>46346</v>
      </c>
      <c r="B24" s="5" t="n">
        <v>0.7083333333333334</v>
      </c>
      <c r="C24" s="5" t="n">
        <v>0.7708333333333334</v>
      </c>
      <c r="D24" s="2" t="n">
        <v>1.5</v>
      </c>
      <c r="E24" s="2" t="inlineStr">
        <is>
          <t>CS 240</t>
        </is>
      </c>
      <c r="F24" s="2" t="inlineStr">
        <is>
          <t>Review course buffer and required score</t>
        </is>
      </c>
      <c r="G24" s="2" t="inlineStr">
        <is>
          <t>Targeted practice</t>
        </is>
      </c>
      <c r="H24" s="2" t="inlineStr">
        <is>
          <t>File systems</t>
        </is>
      </c>
      <c r="I24" s="2" t="inlineStr">
        <is>
          <t>Planned</t>
        </is>
      </c>
      <c r="J24" s="4">
        <f>IF(SUMIF($A$2:$A$57,A24,$D$2:$D$57)&gt;Settings!$B$5,"OVER CAPACITY","Within capacity")</f>
        <v/>
      </c>
    </row>
    <row r="25">
      <c r="A25" s="3" t="n">
        <v>46346</v>
      </c>
      <c r="B25" s="5" t="n">
        <v>0.7916666666666666</v>
      </c>
      <c r="C25" s="5" t="n">
        <v>0.8541666666666666</v>
      </c>
      <c r="D25" s="2" t="n">
        <v>1.5</v>
      </c>
      <c r="E25" s="2" t="inlineStr">
        <is>
          <t>STAT 210</t>
        </is>
      </c>
      <c r="F25" s="2" t="inlineStr">
        <is>
          <t>Review course buffer and required score</t>
        </is>
      </c>
      <c r="G25" s="2" t="inlineStr">
        <is>
          <t>Targeted practice</t>
        </is>
      </c>
      <c r="H25" s="2" t="inlineStr">
        <is>
          <t>Estimation</t>
        </is>
      </c>
      <c r="I25" s="2" t="inlineStr">
        <is>
          <t>Planned</t>
        </is>
      </c>
      <c r="J25" s="4">
        <f>IF(SUMIF($A$2:$A$57,A25,$D$2:$D$57)&gt;Settings!$B$5,"OVER CAPACITY","Within capacity")</f>
        <v/>
      </c>
    </row>
    <row r="26">
      <c r="A26" s="3" t="n">
        <v>46347</v>
      </c>
      <c r="B26" s="5" t="n">
        <v>0.7083333333333334</v>
      </c>
      <c r="C26" s="5" t="n">
        <v>0.7708333333333334</v>
      </c>
      <c r="D26" s="2" t="n">
        <v>1.5</v>
      </c>
      <c r="E26" s="2" t="inlineStr">
        <is>
          <t>CS 201</t>
        </is>
      </c>
      <c r="F26" s="2" t="inlineStr">
        <is>
          <t>Review course buffer and required score</t>
        </is>
      </c>
      <c r="G26" s="2" t="inlineStr">
        <is>
          <t>Targeted practice</t>
        </is>
      </c>
      <c r="H26" s="2" t="inlineStr">
        <is>
          <t>Graphs</t>
        </is>
      </c>
      <c r="I26" s="2" t="inlineStr">
        <is>
          <t>Planned</t>
        </is>
      </c>
      <c r="J26" s="4">
        <f>IF(SUMIF($A$2:$A$57,A26,$D$2:$D$57)&gt;Settings!$B$5,"OVER CAPACITY","Within capacity")</f>
        <v/>
      </c>
    </row>
    <row r="27">
      <c r="A27" s="3" t="n">
        <v>46347</v>
      </c>
      <c r="B27" s="5" t="n">
        <v>0.7916666666666666</v>
      </c>
      <c r="C27" s="5" t="n">
        <v>0.8541666666666666</v>
      </c>
      <c r="D27" s="2" t="n">
        <v>1.5</v>
      </c>
      <c r="E27" s="2" t="inlineStr">
        <is>
          <t>MATH 221</t>
        </is>
      </c>
      <c r="F27" s="2" t="inlineStr">
        <is>
          <t>Review course buffer and required score</t>
        </is>
      </c>
      <c r="G27" s="2" t="inlineStr">
        <is>
          <t>Targeted practice</t>
        </is>
      </c>
      <c r="H27" s="2" t="inlineStr">
        <is>
          <t>Eigenvalues</t>
        </is>
      </c>
      <c r="I27" s="2" t="inlineStr">
        <is>
          <t>Planned</t>
        </is>
      </c>
      <c r="J27" s="4">
        <f>IF(SUMIF($A$2:$A$57,A27,$D$2:$D$57)&gt;Settings!$B$5,"OVER CAPACITY","Within capacity")</f>
        <v/>
      </c>
    </row>
    <row r="28">
      <c r="A28" s="3" t="n">
        <v>46348</v>
      </c>
      <c r="B28" s="5" t="n">
        <v>0.7083333333333334</v>
      </c>
      <c r="C28" s="5" t="n">
        <v>0.7708333333333334</v>
      </c>
      <c r="D28" s="2" t="n">
        <v>1.5</v>
      </c>
      <c r="E28" s="2" t="inlineStr">
        <is>
          <t>CS 240</t>
        </is>
      </c>
      <c r="F28" s="2" t="inlineStr">
        <is>
          <t>Review course buffer and required score</t>
        </is>
      </c>
      <c r="G28" s="2" t="inlineStr">
        <is>
          <t>Targeted practice</t>
        </is>
      </c>
      <c r="H28" s="2" t="inlineStr">
        <is>
          <t>Concurrency</t>
        </is>
      </c>
      <c r="I28" s="2" t="inlineStr">
        <is>
          <t>Planned</t>
        </is>
      </c>
      <c r="J28" s="4">
        <f>IF(SUMIF($A$2:$A$57,A28,$D$2:$D$57)&gt;Settings!$B$5,"OVER CAPACITY","Within capacity")</f>
        <v/>
      </c>
    </row>
    <row r="29">
      <c r="A29" s="3" t="n">
        <v>46348</v>
      </c>
      <c r="B29" s="5" t="n">
        <v>0.7916666666666666</v>
      </c>
      <c r="C29" s="5" t="n">
        <v>0.8541666666666666</v>
      </c>
      <c r="D29" s="2" t="n">
        <v>1.5</v>
      </c>
      <c r="E29" s="2" t="inlineStr">
        <is>
          <t>STAT 210</t>
        </is>
      </c>
      <c r="F29" s="2" t="inlineStr">
        <is>
          <t>Review course buffer and required score</t>
        </is>
      </c>
      <c r="G29" s="2" t="inlineStr">
        <is>
          <t>Targeted practice</t>
        </is>
      </c>
      <c r="H29" s="2" t="inlineStr">
        <is>
          <t>Regression</t>
        </is>
      </c>
      <c r="I29" s="2" t="inlineStr">
        <is>
          <t>Planned</t>
        </is>
      </c>
      <c r="J29" s="4">
        <f>IF(SUMIF($A$2:$A$57,A29,$D$2:$D$57)&gt;Settings!$B$5,"OVER CAPACITY","Within capacity")</f>
        <v/>
      </c>
    </row>
    <row r="30">
      <c r="A30" s="3" t="n">
        <v>46349</v>
      </c>
      <c r="B30" s="5" t="n">
        <v>0.7083333333333334</v>
      </c>
      <c r="C30" s="5" t="n">
        <v>0.7708333333333334</v>
      </c>
      <c r="D30" s="2" t="n">
        <v>1.5</v>
      </c>
      <c r="E30" s="2" t="inlineStr">
        <is>
          <t>CS 201</t>
        </is>
      </c>
      <c r="F30" s="2" t="inlineStr">
        <is>
          <t>Review course buffer and required score</t>
        </is>
      </c>
      <c r="G30" s="2" t="inlineStr">
        <is>
          <t>Practice exam + error review</t>
        </is>
      </c>
      <c r="H30" s="2" t="inlineStr">
        <is>
          <t>Complexity</t>
        </is>
      </c>
      <c r="I30" s="2" t="inlineStr">
        <is>
          <t>Planned</t>
        </is>
      </c>
      <c r="J30" s="4">
        <f>IF(SUMIF($A$2:$A$57,A30,$D$2:$D$57)&gt;Settings!$B$5,"OVER CAPACITY","Within capacity")</f>
        <v/>
      </c>
    </row>
    <row r="31">
      <c r="A31" s="3" t="n">
        <v>46349</v>
      </c>
      <c r="B31" s="5" t="n">
        <v>0.7916666666666666</v>
      </c>
      <c r="C31" s="5" t="n">
        <v>0.8541666666666666</v>
      </c>
      <c r="D31" s="2" t="n">
        <v>1.5</v>
      </c>
      <c r="E31" s="2" t="inlineStr">
        <is>
          <t>MATH 221</t>
        </is>
      </c>
      <c r="F31" s="2" t="inlineStr">
        <is>
          <t>Review course buffer and required score</t>
        </is>
      </c>
      <c r="G31" s="2" t="inlineStr">
        <is>
          <t>Practice exam + error review</t>
        </is>
      </c>
      <c r="H31" s="2" t="inlineStr">
        <is>
          <t>Orthogonality</t>
        </is>
      </c>
      <c r="I31" s="2" t="inlineStr">
        <is>
          <t>Planned</t>
        </is>
      </c>
      <c r="J31" s="4">
        <f>IF(SUMIF($A$2:$A$57,A31,$D$2:$D$57)&gt;Settings!$B$5,"OVER CAPACITY","Within capacity")</f>
        <v/>
      </c>
    </row>
    <row r="32">
      <c r="A32" s="3" t="n">
        <v>46350</v>
      </c>
      <c r="B32" s="5" t="n">
        <v>0.7083333333333334</v>
      </c>
      <c r="C32" s="5" t="n">
        <v>0.7708333333333334</v>
      </c>
      <c r="D32" s="2" t="n">
        <v>1.5</v>
      </c>
      <c r="E32" s="2" t="inlineStr">
        <is>
          <t>CS 240</t>
        </is>
      </c>
      <c r="F32" s="2" t="inlineStr">
        <is>
          <t>Review course buffer and required score</t>
        </is>
      </c>
      <c r="G32" s="2" t="inlineStr">
        <is>
          <t>Practice exam + error review</t>
        </is>
      </c>
      <c r="H32" s="2" t="inlineStr">
        <is>
          <t>File systems</t>
        </is>
      </c>
      <c r="I32" s="2" t="inlineStr">
        <is>
          <t>Planned</t>
        </is>
      </c>
      <c r="J32" s="4">
        <f>IF(SUMIF($A$2:$A$57,A32,$D$2:$D$57)&gt;Settings!$B$5,"OVER CAPACITY","Within capacity")</f>
        <v/>
      </c>
    </row>
    <row r="33">
      <c r="A33" s="3" t="n">
        <v>46350</v>
      </c>
      <c r="B33" s="5" t="n">
        <v>0.7916666666666666</v>
      </c>
      <c r="C33" s="5" t="n">
        <v>0.8541666666666666</v>
      </c>
      <c r="D33" s="2" t="n">
        <v>1.5</v>
      </c>
      <c r="E33" s="2" t="inlineStr">
        <is>
          <t>STAT 210</t>
        </is>
      </c>
      <c r="F33" s="2" t="inlineStr">
        <is>
          <t>Review course buffer and required score</t>
        </is>
      </c>
      <c r="G33" s="2" t="inlineStr">
        <is>
          <t>Practice exam + error review</t>
        </is>
      </c>
      <c r="H33" s="2" t="inlineStr">
        <is>
          <t>Estimation</t>
        </is>
      </c>
      <c r="I33" s="2" t="inlineStr">
        <is>
          <t>Planned</t>
        </is>
      </c>
      <c r="J33" s="4">
        <f>IF(SUMIF($A$2:$A$57,A33,$D$2:$D$57)&gt;Settings!$B$5,"OVER CAPACITY","Within capacity")</f>
        <v/>
      </c>
    </row>
    <row r="34">
      <c r="A34" s="3" t="n">
        <v>46351</v>
      </c>
      <c r="B34" s="5" t="n">
        <v>0.7083333333333334</v>
      </c>
      <c r="C34" s="5" t="n">
        <v>0.7708333333333334</v>
      </c>
      <c r="D34" s="2" t="n">
        <v>1.5</v>
      </c>
      <c r="E34" s="2" t="inlineStr">
        <is>
          <t>CS 201</t>
        </is>
      </c>
      <c r="F34" s="2" t="inlineStr">
        <is>
          <t>Review course buffer and required score</t>
        </is>
      </c>
      <c r="G34" s="2" t="inlineStr">
        <is>
          <t>Practice exam + error review</t>
        </is>
      </c>
      <c r="H34" s="2" t="inlineStr">
        <is>
          <t>Graphs</t>
        </is>
      </c>
      <c r="I34" s="2" t="inlineStr">
        <is>
          <t>Planned</t>
        </is>
      </c>
      <c r="J34" s="4">
        <f>IF(SUMIF($A$2:$A$57,A34,$D$2:$D$57)&gt;Settings!$B$5,"OVER CAPACITY","Within capacity")</f>
        <v/>
      </c>
    </row>
    <row r="35">
      <c r="A35" s="3" t="n">
        <v>46351</v>
      </c>
      <c r="B35" s="5" t="n">
        <v>0.7916666666666666</v>
      </c>
      <c r="C35" s="5" t="n">
        <v>0.8541666666666666</v>
      </c>
      <c r="D35" s="2" t="n">
        <v>1.5</v>
      </c>
      <c r="E35" s="2" t="inlineStr">
        <is>
          <t>MATH 221</t>
        </is>
      </c>
      <c r="F35" s="2" t="inlineStr">
        <is>
          <t>Review course buffer and required score</t>
        </is>
      </c>
      <c r="G35" s="2" t="inlineStr">
        <is>
          <t>Practice exam + error review</t>
        </is>
      </c>
      <c r="H35" s="2" t="inlineStr">
        <is>
          <t>Eigenvalues</t>
        </is>
      </c>
      <c r="I35" s="2" t="inlineStr">
        <is>
          <t>Planned</t>
        </is>
      </c>
      <c r="J35" s="4">
        <f>IF(SUMIF($A$2:$A$57,A35,$D$2:$D$57)&gt;Settings!$B$5,"OVER CAPACITY","Within capacity")</f>
        <v/>
      </c>
    </row>
    <row r="36">
      <c r="A36" s="3" t="n">
        <v>46352</v>
      </c>
      <c r="B36" s="5" t="n">
        <v>0.7083333333333334</v>
      </c>
      <c r="C36" s="5" t="n">
        <v>0.7708333333333334</v>
      </c>
      <c r="D36" s="2" t="n">
        <v>1.5</v>
      </c>
      <c r="E36" s="2" t="inlineStr">
        <is>
          <t>CS 240</t>
        </is>
      </c>
      <c r="F36" s="2" t="inlineStr">
        <is>
          <t>Review course buffer and required score</t>
        </is>
      </c>
      <c r="G36" s="2" t="inlineStr">
        <is>
          <t>Practice exam + error review</t>
        </is>
      </c>
      <c r="H36" s="2" t="inlineStr">
        <is>
          <t>Concurrency</t>
        </is>
      </c>
      <c r="I36" s="2" t="inlineStr">
        <is>
          <t>Planned</t>
        </is>
      </c>
      <c r="J36" s="4">
        <f>IF(SUMIF($A$2:$A$57,A36,$D$2:$D$57)&gt;Settings!$B$5,"OVER CAPACITY","Within capacity")</f>
        <v/>
      </c>
    </row>
    <row r="37">
      <c r="A37" s="3" t="n">
        <v>46352</v>
      </c>
      <c r="B37" s="5" t="n">
        <v>0.7916666666666666</v>
      </c>
      <c r="C37" s="5" t="n">
        <v>0.8541666666666666</v>
      </c>
      <c r="D37" s="2" t="n">
        <v>1.5</v>
      </c>
      <c r="E37" s="2" t="inlineStr">
        <is>
          <t>STAT 210</t>
        </is>
      </c>
      <c r="F37" s="2" t="inlineStr">
        <is>
          <t>Review course buffer and required score</t>
        </is>
      </c>
      <c r="G37" s="2" t="inlineStr">
        <is>
          <t>Practice exam + error review</t>
        </is>
      </c>
      <c r="H37" s="2" t="inlineStr">
        <is>
          <t>Regression</t>
        </is>
      </c>
      <c r="I37" s="2" t="inlineStr">
        <is>
          <t>Planned</t>
        </is>
      </c>
      <c r="J37" s="4">
        <f>IF(SUMIF($A$2:$A$57,A37,$D$2:$D$57)&gt;Settings!$B$5,"OVER CAPACITY","Within capacity")</f>
        <v/>
      </c>
    </row>
    <row r="38">
      <c r="A38" s="3" t="n">
        <v>46353</v>
      </c>
      <c r="B38" s="5" t="n">
        <v>0.7083333333333334</v>
      </c>
      <c r="C38" s="5" t="n">
        <v>0.7708333333333334</v>
      </c>
      <c r="D38" s="2" t="n">
        <v>1.5</v>
      </c>
      <c r="E38" s="2" t="inlineStr">
        <is>
          <t>CS 201</t>
        </is>
      </c>
      <c r="F38" s="2" t="inlineStr">
        <is>
          <t>Review course buffer and required score</t>
        </is>
      </c>
      <c r="G38" s="2" t="inlineStr">
        <is>
          <t>Practice exam + error review</t>
        </is>
      </c>
      <c r="H38" s="2" t="inlineStr">
        <is>
          <t>Complexity</t>
        </is>
      </c>
      <c r="I38" s="2" t="inlineStr">
        <is>
          <t>Planned</t>
        </is>
      </c>
      <c r="J38" s="4">
        <f>IF(SUMIF($A$2:$A$57,A38,$D$2:$D$57)&gt;Settings!$B$5,"OVER CAPACITY","Within capacity")</f>
        <v/>
      </c>
    </row>
    <row r="39">
      <c r="A39" s="3" t="n">
        <v>46353</v>
      </c>
      <c r="B39" s="5" t="n">
        <v>0.7916666666666666</v>
      </c>
      <c r="C39" s="5" t="n">
        <v>0.8541666666666666</v>
      </c>
      <c r="D39" s="2" t="n">
        <v>1.5</v>
      </c>
      <c r="E39" s="2" t="inlineStr">
        <is>
          <t>MATH 221</t>
        </is>
      </c>
      <c r="F39" s="2" t="inlineStr">
        <is>
          <t>Review course buffer and required score</t>
        </is>
      </c>
      <c r="G39" s="2" t="inlineStr">
        <is>
          <t>Practice exam + error review</t>
        </is>
      </c>
      <c r="H39" s="2" t="inlineStr">
        <is>
          <t>Orthogonality</t>
        </is>
      </c>
      <c r="I39" s="2" t="inlineStr">
        <is>
          <t>Planned</t>
        </is>
      </c>
      <c r="J39" s="4">
        <f>IF(SUMIF($A$2:$A$57,A39,$D$2:$D$57)&gt;Settings!$B$5,"OVER CAPACITY","Within capacity")</f>
        <v/>
      </c>
    </row>
    <row r="40">
      <c r="A40" s="3" t="n">
        <v>46354</v>
      </c>
      <c r="B40" s="5" t="n">
        <v>0.7083333333333334</v>
      </c>
      <c r="C40" s="5" t="n">
        <v>0.7708333333333334</v>
      </c>
      <c r="D40" s="2" t="n">
        <v>1.5</v>
      </c>
      <c r="E40" s="2" t="inlineStr">
        <is>
          <t>CS 240</t>
        </is>
      </c>
      <c r="F40" s="2" t="inlineStr">
        <is>
          <t>Review course buffer and required score</t>
        </is>
      </c>
      <c r="G40" s="2" t="inlineStr">
        <is>
          <t>Practice exam + error review</t>
        </is>
      </c>
      <c r="H40" s="2" t="inlineStr">
        <is>
          <t>File systems</t>
        </is>
      </c>
      <c r="I40" s="2" t="inlineStr">
        <is>
          <t>Planned</t>
        </is>
      </c>
      <c r="J40" s="4">
        <f>IF(SUMIF($A$2:$A$57,A40,$D$2:$D$57)&gt;Settings!$B$5,"OVER CAPACITY","Within capacity")</f>
        <v/>
      </c>
    </row>
    <row r="41">
      <c r="A41" s="3" t="n">
        <v>46354</v>
      </c>
      <c r="B41" s="5" t="n">
        <v>0.7916666666666666</v>
      </c>
      <c r="C41" s="5" t="n">
        <v>0.8541666666666666</v>
      </c>
      <c r="D41" s="2" t="n">
        <v>1.5</v>
      </c>
      <c r="E41" s="2" t="inlineStr">
        <is>
          <t>STAT 210</t>
        </is>
      </c>
      <c r="F41" s="2" t="inlineStr">
        <is>
          <t>Review course buffer and required score</t>
        </is>
      </c>
      <c r="G41" s="2" t="inlineStr">
        <is>
          <t>Practice exam + error review</t>
        </is>
      </c>
      <c r="H41" s="2" t="inlineStr">
        <is>
          <t>Estimation</t>
        </is>
      </c>
      <c r="I41" s="2" t="inlineStr">
        <is>
          <t>Planned</t>
        </is>
      </c>
      <c r="J41" s="4">
        <f>IF(SUMIF($A$2:$A$57,A41,$D$2:$D$57)&gt;Settings!$B$5,"OVER CAPACITY","Within capacity")</f>
        <v/>
      </c>
    </row>
    <row r="42">
      <c r="A42" s="3" t="n">
        <v>46355</v>
      </c>
      <c r="B42" s="5" t="n">
        <v>0.7083333333333334</v>
      </c>
      <c r="C42" s="5" t="n">
        <v>0.7708333333333334</v>
      </c>
      <c r="D42" s="2" t="n">
        <v>1.5</v>
      </c>
      <c r="E42" s="2" t="inlineStr">
        <is>
          <t>CS 201</t>
        </is>
      </c>
      <c r="F42" s="2" t="inlineStr">
        <is>
          <t>Review course buffer and required score</t>
        </is>
      </c>
      <c r="G42" s="2" t="inlineStr">
        <is>
          <t>Practice exam + error review</t>
        </is>
      </c>
      <c r="H42" s="2" t="inlineStr">
        <is>
          <t>Graphs</t>
        </is>
      </c>
      <c r="I42" s="2" t="inlineStr">
        <is>
          <t>Planned</t>
        </is>
      </c>
      <c r="J42" s="4">
        <f>IF(SUMIF($A$2:$A$57,A42,$D$2:$D$57)&gt;Settings!$B$5,"OVER CAPACITY","Within capacity")</f>
        <v/>
      </c>
    </row>
    <row r="43">
      <c r="A43" s="3" t="n">
        <v>46355</v>
      </c>
      <c r="B43" s="5" t="n">
        <v>0.7916666666666666</v>
      </c>
      <c r="C43" s="5" t="n">
        <v>0.8541666666666666</v>
      </c>
      <c r="D43" s="2" t="n">
        <v>1.5</v>
      </c>
      <c r="E43" s="2" t="inlineStr">
        <is>
          <t>MATH 221</t>
        </is>
      </c>
      <c r="F43" s="2" t="inlineStr">
        <is>
          <t>Review course buffer and required score</t>
        </is>
      </c>
      <c r="G43" s="2" t="inlineStr">
        <is>
          <t>Practice exam + error review</t>
        </is>
      </c>
      <c r="H43" s="2" t="inlineStr">
        <is>
          <t>Eigenvalues</t>
        </is>
      </c>
      <c r="I43" s="2" t="inlineStr">
        <is>
          <t>Planned</t>
        </is>
      </c>
      <c r="J43" s="4">
        <f>IF(SUMIF($A$2:$A$57,A43,$D$2:$D$57)&gt;Settings!$B$5,"OVER CAPACITY","Within capacity")</f>
        <v/>
      </c>
    </row>
    <row r="44">
      <c r="A44" s="3" t="n">
        <v>46356</v>
      </c>
      <c r="B44" s="5" t="n">
        <v>0.7083333333333334</v>
      </c>
      <c r="C44" s="5" t="n">
        <v>0.7708333333333334</v>
      </c>
      <c r="D44" s="2" t="n">
        <v>1.5</v>
      </c>
      <c r="E44" s="2" t="inlineStr">
        <is>
          <t>CS 240</t>
        </is>
      </c>
      <c r="F44" s="2" t="inlineStr">
        <is>
          <t>Review course buffer and required score</t>
        </is>
      </c>
      <c r="G44" s="2" t="inlineStr">
        <is>
          <t>Targeted review + logistics</t>
        </is>
      </c>
      <c r="H44" s="2" t="inlineStr">
        <is>
          <t>Concurrency</t>
        </is>
      </c>
      <c r="I44" s="2" t="inlineStr">
        <is>
          <t>Planned</t>
        </is>
      </c>
      <c r="J44" s="4">
        <f>IF(SUMIF($A$2:$A$57,A44,$D$2:$D$57)&gt;Settings!$B$5,"OVER CAPACITY","Within capacity")</f>
        <v/>
      </c>
    </row>
    <row r="45">
      <c r="A45" s="3" t="n">
        <v>46356</v>
      </c>
      <c r="B45" s="5" t="n">
        <v>0.7916666666666666</v>
      </c>
      <c r="C45" s="5" t="n">
        <v>0.8541666666666666</v>
      </c>
      <c r="D45" s="2" t="n">
        <v>1.5</v>
      </c>
      <c r="E45" s="2" t="inlineStr">
        <is>
          <t>STAT 210</t>
        </is>
      </c>
      <c r="F45" s="2" t="inlineStr">
        <is>
          <t>Review course buffer and required score</t>
        </is>
      </c>
      <c r="G45" s="2" t="inlineStr">
        <is>
          <t>Targeted review + logistics</t>
        </is>
      </c>
      <c r="H45" s="2" t="inlineStr">
        <is>
          <t>Regression</t>
        </is>
      </c>
      <c r="I45" s="2" t="inlineStr">
        <is>
          <t>Planned</t>
        </is>
      </c>
      <c r="J45" s="4">
        <f>IF(SUMIF($A$2:$A$57,A45,$D$2:$D$57)&gt;Settings!$B$5,"OVER CAPACITY","Within capacity")</f>
        <v/>
      </c>
    </row>
    <row r="46">
      <c r="A46" s="3" t="n">
        <v>46357</v>
      </c>
      <c r="B46" s="5" t="n">
        <v>0.7083333333333334</v>
      </c>
      <c r="C46" s="5" t="n">
        <v>0.7708333333333334</v>
      </c>
      <c r="D46" s="2" t="n">
        <v>1.5</v>
      </c>
      <c r="E46" s="2" t="inlineStr">
        <is>
          <t>CS 201</t>
        </is>
      </c>
      <c r="F46" s="2" t="inlineStr">
        <is>
          <t>Review course buffer and required score</t>
        </is>
      </c>
      <c r="G46" s="2" t="inlineStr">
        <is>
          <t>Targeted review + logistics</t>
        </is>
      </c>
      <c r="H46" s="2" t="inlineStr">
        <is>
          <t>Complexity</t>
        </is>
      </c>
      <c r="I46" s="2" t="inlineStr">
        <is>
          <t>Planned</t>
        </is>
      </c>
      <c r="J46" s="4">
        <f>IF(SUMIF($A$2:$A$57,A46,$D$2:$D$57)&gt;Settings!$B$5,"OVER CAPACITY","Within capacity")</f>
        <v/>
      </c>
    </row>
    <row r="47">
      <c r="A47" s="3" t="n">
        <v>46357</v>
      </c>
      <c r="B47" s="5" t="n">
        <v>0.7916666666666666</v>
      </c>
      <c r="C47" s="5" t="n">
        <v>0.8541666666666666</v>
      </c>
      <c r="D47" s="2" t="n">
        <v>1.5</v>
      </c>
      <c r="E47" s="2" t="inlineStr">
        <is>
          <t>MATH 221</t>
        </is>
      </c>
      <c r="F47" s="2" t="inlineStr">
        <is>
          <t>Review course buffer and required score</t>
        </is>
      </c>
      <c r="G47" s="2" t="inlineStr">
        <is>
          <t>Targeted review + logistics</t>
        </is>
      </c>
      <c r="H47" s="2" t="inlineStr">
        <is>
          <t>Orthogonality</t>
        </is>
      </c>
      <c r="I47" s="2" t="inlineStr">
        <is>
          <t>Planned</t>
        </is>
      </c>
      <c r="J47" s="4">
        <f>IF(SUMIF($A$2:$A$57,A47,$D$2:$D$57)&gt;Settings!$B$5,"OVER CAPACITY","Within capacity")</f>
        <v/>
      </c>
    </row>
    <row r="48">
      <c r="A48" s="3" t="n">
        <v>46358</v>
      </c>
      <c r="B48" s="5" t="n">
        <v>0.7083333333333334</v>
      </c>
      <c r="C48" s="5" t="n">
        <v>0.7708333333333334</v>
      </c>
      <c r="D48" s="2" t="n">
        <v>1.5</v>
      </c>
      <c r="E48" s="2" t="inlineStr">
        <is>
          <t>CS 240</t>
        </is>
      </c>
      <c r="F48" s="2" t="inlineStr">
        <is>
          <t>Review course buffer and required score</t>
        </is>
      </c>
      <c r="G48" s="2" t="inlineStr">
        <is>
          <t>Targeted review + logistics</t>
        </is>
      </c>
      <c r="H48" s="2" t="inlineStr">
        <is>
          <t>File systems</t>
        </is>
      </c>
      <c r="I48" s="2" t="inlineStr">
        <is>
          <t>Planned</t>
        </is>
      </c>
      <c r="J48" s="4">
        <f>IF(SUMIF($A$2:$A$57,A48,$D$2:$D$57)&gt;Settings!$B$5,"OVER CAPACITY","Within capacity")</f>
        <v/>
      </c>
    </row>
    <row r="49">
      <c r="A49" s="3" t="n">
        <v>46358</v>
      </c>
      <c r="B49" s="5" t="n">
        <v>0.7916666666666666</v>
      </c>
      <c r="C49" s="5" t="n">
        <v>0.8541666666666666</v>
      </c>
      <c r="D49" s="2" t="n">
        <v>1.5</v>
      </c>
      <c r="E49" s="2" t="inlineStr">
        <is>
          <t>STAT 210</t>
        </is>
      </c>
      <c r="F49" s="2" t="inlineStr">
        <is>
          <t>Review course buffer and required score</t>
        </is>
      </c>
      <c r="G49" s="2" t="inlineStr">
        <is>
          <t>Targeted review + logistics</t>
        </is>
      </c>
      <c r="H49" s="2" t="inlineStr">
        <is>
          <t>Estimation</t>
        </is>
      </c>
      <c r="I49" s="2" t="inlineStr">
        <is>
          <t>Planned</t>
        </is>
      </c>
      <c r="J49" s="4">
        <f>IF(SUMIF($A$2:$A$57,A49,$D$2:$D$57)&gt;Settings!$B$5,"OVER CAPACITY","Within capacity")</f>
        <v/>
      </c>
    </row>
    <row r="50">
      <c r="A50" s="3" t="n">
        <v>46359</v>
      </c>
      <c r="B50" s="5" t="n">
        <v>0.7083333333333334</v>
      </c>
      <c r="C50" s="5" t="n">
        <v>0.7708333333333334</v>
      </c>
      <c r="D50" s="2" t="n">
        <v>1.5</v>
      </c>
      <c r="E50" s="2" t="inlineStr">
        <is>
          <t>CS 201</t>
        </is>
      </c>
      <c r="F50" s="2" t="inlineStr">
        <is>
          <t>Review course buffer and required score</t>
        </is>
      </c>
      <c r="G50" s="2" t="inlineStr">
        <is>
          <t>Targeted review + logistics</t>
        </is>
      </c>
      <c r="H50" s="2" t="inlineStr">
        <is>
          <t>Graphs</t>
        </is>
      </c>
      <c r="I50" s="2" t="inlineStr">
        <is>
          <t>Planned</t>
        </is>
      </c>
      <c r="J50" s="4">
        <f>IF(SUMIF($A$2:$A$57,A50,$D$2:$D$57)&gt;Settings!$B$5,"OVER CAPACITY","Within capacity")</f>
        <v/>
      </c>
    </row>
    <row r="51">
      <c r="A51" s="3" t="n">
        <v>46359</v>
      </c>
      <c r="B51" s="5" t="n">
        <v>0.7916666666666666</v>
      </c>
      <c r="C51" s="5" t="n">
        <v>0.8541666666666666</v>
      </c>
      <c r="D51" s="2" t="n">
        <v>1.5</v>
      </c>
      <c r="E51" s="2" t="inlineStr">
        <is>
          <t>MATH 221</t>
        </is>
      </c>
      <c r="F51" s="2" t="inlineStr">
        <is>
          <t>Review course buffer and required score</t>
        </is>
      </c>
      <c r="G51" s="2" t="inlineStr">
        <is>
          <t>Targeted review + logistics</t>
        </is>
      </c>
      <c r="H51" s="2" t="inlineStr">
        <is>
          <t>Eigenvalues</t>
        </is>
      </c>
      <c r="I51" s="2" t="inlineStr">
        <is>
          <t>Planned</t>
        </is>
      </c>
      <c r="J51" s="4">
        <f>IF(SUMIF($A$2:$A$57,A51,$D$2:$D$57)&gt;Settings!$B$5,"OVER CAPACITY","Within capacity")</f>
        <v/>
      </c>
    </row>
    <row r="52">
      <c r="A52" s="3" t="n">
        <v>46360</v>
      </c>
      <c r="B52" s="5" t="n">
        <v>0.7083333333333334</v>
      </c>
      <c r="C52" s="5" t="n">
        <v>0.7708333333333334</v>
      </c>
      <c r="D52" s="2" t="n">
        <v>1.5</v>
      </c>
      <c r="E52" s="2" t="inlineStr">
        <is>
          <t>CS 240</t>
        </is>
      </c>
      <c r="F52" s="2" t="inlineStr">
        <is>
          <t>Review course buffer and required score</t>
        </is>
      </c>
      <c r="G52" s="2" t="inlineStr">
        <is>
          <t>Targeted review + logistics</t>
        </is>
      </c>
      <c r="H52" s="2" t="inlineStr">
        <is>
          <t>Concurrency</t>
        </is>
      </c>
      <c r="I52" s="2" t="inlineStr">
        <is>
          <t>Planned</t>
        </is>
      </c>
      <c r="J52" s="4">
        <f>IF(SUMIF($A$2:$A$57,A52,$D$2:$D$57)&gt;Settings!$B$5,"OVER CAPACITY","Within capacity")</f>
        <v/>
      </c>
    </row>
    <row r="53">
      <c r="A53" s="3" t="n">
        <v>46360</v>
      </c>
      <c r="B53" s="5" t="n">
        <v>0.7916666666666666</v>
      </c>
      <c r="C53" s="5" t="n">
        <v>0.8541666666666666</v>
      </c>
      <c r="D53" s="2" t="n">
        <v>1.5</v>
      </c>
      <c r="E53" s="2" t="inlineStr">
        <is>
          <t>STAT 210</t>
        </is>
      </c>
      <c r="F53" s="2" t="inlineStr">
        <is>
          <t>Review course buffer and required score</t>
        </is>
      </c>
      <c r="G53" s="2" t="inlineStr">
        <is>
          <t>Targeted review + logistics</t>
        </is>
      </c>
      <c r="H53" s="2" t="inlineStr">
        <is>
          <t>Regression</t>
        </is>
      </c>
      <c r="I53" s="2" t="inlineStr">
        <is>
          <t>Planned</t>
        </is>
      </c>
      <c r="J53" s="4">
        <f>IF(SUMIF($A$2:$A$57,A53,$D$2:$D$57)&gt;Settings!$B$5,"OVER CAPACITY","Within capacity")</f>
        <v/>
      </c>
    </row>
    <row r="54">
      <c r="A54" s="3" t="n">
        <v>46361</v>
      </c>
      <c r="B54" s="5" t="n">
        <v>0.7083333333333334</v>
      </c>
      <c r="C54" s="5" t="n">
        <v>0.7708333333333334</v>
      </c>
      <c r="D54" s="2" t="n">
        <v>1.5</v>
      </c>
      <c r="E54" s="2" t="inlineStr">
        <is>
          <t>CS 201</t>
        </is>
      </c>
      <c r="F54" s="2" t="inlineStr">
        <is>
          <t>Review course buffer and required score</t>
        </is>
      </c>
      <c r="G54" s="2" t="inlineStr">
        <is>
          <t>Targeted review + logistics</t>
        </is>
      </c>
      <c r="H54" s="2" t="inlineStr">
        <is>
          <t>Complexity</t>
        </is>
      </c>
      <c r="I54" s="2" t="inlineStr">
        <is>
          <t>Planned</t>
        </is>
      </c>
      <c r="J54" s="4">
        <f>IF(SUMIF($A$2:$A$57,A54,$D$2:$D$57)&gt;Settings!$B$5,"OVER CAPACITY","Within capacity")</f>
        <v/>
      </c>
    </row>
    <row r="55">
      <c r="A55" s="3" t="n">
        <v>46361</v>
      </c>
      <c r="B55" s="5" t="n">
        <v>0.7916666666666666</v>
      </c>
      <c r="C55" s="5" t="n">
        <v>0.8541666666666666</v>
      </c>
      <c r="D55" s="2" t="n">
        <v>1.5</v>
      </c>
      <c r="E55" s="2" t="inlineStr">
        <is>
          <t>MATH 221</t>
        </is>
      </c>
      <c r="F55" s="2" t="inlineStr">
        <is>
          <t>Review course buffer and required score</t>
        </is>
      </c>
      <c r="G55" s="2" t="inlineStr">
        <is>
          <t>Targeted review + logistics</t>
        </is>
      </c>
      <c r="H55" s="2" t="inlineStr">
        <is>
          <t>Orthogonality</t>
        </is>
      </c>
      <c r="I55" s="2" t="inlineStr">
        <is>
          <t>Planned</t>
        </is>
      </c>
      <c r="J55" s="4">
        <f>IF(SUMIF($A$2:$A$57,A55,$D$2:$D$57)&gt;Settings!$B$5,"OVER CAPACITY","Within capacity")</f>
        <v/>
      </c>
    </row>
    <row r="56">
      <c r="A56" s="3" t="n">
        <v>46362</v>
      </c>
      <c r="B56" s="5" t="n">
        <v>0.7083333333333334</v>
      </c>
      <c r="C56" s="5" t="n">
        <v>0.7708333333333334</v>
      </c>
      <c r="D56" s="2" t="n">
        <v>1.5</v>
      </c>
      <c r="E56" s="2" t="inlineStr">
        <is>
          <t>CS 240</t>
        </is>
      </c>
      <c r="F56" s="2" t="inlineStr">
        <is>
          <t>Review course buffer and required score</t>
        </is>
      </c>
      <c r="G56" s="2" t="inlineStr">
        <is>
          <t>Targeted review + logistics</t>
        </is>
      </c>
      <c r="H56" s="2" t="inlineStr">
        <is>
          <t>File systems</t>
        </is>
      </c>
      <c r="I56" s="2" t="inlineStr">
        <is>
          <t>Planned</t>
        </is>
      </c>
      <c r="J56" s="4">
        <f>IF(SUMIF($A$2:$A$57,A56,$D$2:$D$57)&gt;Settings!$B$5,"OVER CAPACITY","Within capacity")</f>
        <v/>
      </c>
    </row>
    <row r="57">
      <c r="A57" s="3" t="n">
        <v>46362</v>
      </c>
      <c r="B57" s="5" t="n">
        <v>0.7916666666666666</v>
      </c>
      <c r="C57" s="5" t="n">
        <v>0.8541666666666666</v>
      </c>
      <c r="D57" s="2" t="n">
        <v>1.5</v>
      </c>
      <c r="E57" s="2" t="inlineStr">
        <is>
          <t>STAT 210</t>
        </is>
      </c>
      <c r="F57" s="2" t="inlineStr">
        <is>
          <t>Review course buffer and required score</t>
        </is>
      </c>
      <c r="G57" s="2" t="inlineStr">
        <is>
          <t>Targeted review + logistics</t>
        </is>
      </c>
      <c r="H57" s="2" t="inlineStr">
        <is>
          <t>Estimation</t>
        </is>
      </c>
      <c r="I57" s="2" t="inlineStr">
        <is>
          <t>Planned</t>
        </is>
      </c>
      <c r="J57" s="4">
        <f>IF(SUMIF($A$2:$A$57,A57,$D$2:$D$57)&gt;Settings!$B$5,"OVER CAPACITY","Within capacity")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Projected semester GPA</t>
        </is>
      </c>
      <c r="B2" s="4">
        <f>SUMPRODUCT(Courses!C2:C5,Courses!L2:L5)/SUM(Courses!C2:C5)</f>
        <v/>
      </c>
    </row>
    <row r="3">
      <c r="A3" s="2" t="inlineStr">
        <is>
          <t>Target semester GPA</t>
        </is>
      </c>
      <c r="B3" s="4">
        <f>Settings!B2</f>
        <v/>
      </c>
    </row>
    <row r="4">
      <c r="A4" s="2" t="inlineStr">
        <is>
          <t>GPA difference</t>
        </is>
      </c>
      <c r="B4" s="4">
        <f>B2-B3</f>
        <v/>
      </c>
    </row>
    <row r="5">
      <c r="A5" s="2" t="inlineStr">
        <is>
          <t>GPA if course targets achieved</t>
        </is>
      </c>
      <c r="B5" s="4">
        <f>SUMPRODUCT(Courses!C2:C5,Courses!M2:M5)/SUM(Courses!C2:C5)</f>
        <v/>
      </c>
    </row>
    <row r="6">
      <c r="A6" s="2" t="inlineStr">
        <is>
          <t>Study hours remaining</t>
        </is>
      </c>
      <c r="B6" s="4">
        <f>SUM(Courses!Q2:Q5)</f>
        <v/>
      </c>
    </row>
    <row r="7">
      <c r="A7" s="2" t="inlineStr">
        <is>
          <t>Scheduled hours</t>
        </is>
      </c>
      <c r="B7" s="4">
        <f>SUM('Daily Blocks'!D2:D57)</f>
        <v/>
      </c>
    </row>
    <row r="8">
      <c r="A8" s="2" t="inlineStr">
        <is>
          <t>Unallocated hours by course</t>
        </is>
      </c>
      <c r="B8" s="4">
        <f>SUM(Courses!S2:S5)</f>
        <v/>
      </c>
    </row>
    <row r="9">
      <c r="A9" s="2" t="inlineStr">
        <is>
          <t>Weight issues</t>
        </is>
      </c>
      <c r="B9" s="4">
        <f>COUNTIF(Courses!T2:T5,"FIX WEIGHTS")</f>
        <v/>
      </c>
    </row>
    <row r="10">
      <c r="A10" s="2" t="inlineStr">
        <is>
          <t>Interpretation</t>
        </is>
      </c>
      <c r="B10" s="2" t="inlineStr">
        <is>
          <t>Projected scores are assumptions; no hours-to-grade causality is modeled.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2026-10-07T21:12:11Z</dcterms:created>
  <dcterms:modified xmlns:dcterms="http://purl.org/dc/terms/" xmlns:xsi="http://www.w3.org/2001/XMLSchema-instance" xsi:type="dcterms:W3CDTF">2026-10-07T21:12:11Z</dcterms:modified>
</cp:coreProperties>
</file>